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9f800eeec8c3306/Desktop/HAW INTERNSHIP/"/>
    </mc:Choice>
  </mc:AlternateContent>
  <xr:revisionPtr revIDLastSave="28" documentId="8_{CA3555FB-06BA-4A26-800C-96501B7AEBFA}" xr6:coauthVersionLast="47" xr6:coauthVersionMax="47" xr10:uidLastSave="{9024643B-0393-4A18-801E-83E28F3D4B45}"/>
  <bookViews>
    <workbookView xWindow="-98" yWindow="-98" windowWidth="19396" windowHeight="11475" firstSheet="9" activeTab="10" xr2:uid="{00000000-000D-0000-FFFF-FFFF00000000}"/>
  </bookViews>
  <sheets>
    <sheet name="destination analysis" sheetId="2" r:id="rId1"/>
    <sheet name="revenue analysis" sheetId="3" r:id="rId2"/>
    <sheet name="cancellation analysis" sheetId="4" r:id="rId3"/>
    <sheet name="data overview" sheetId="5" r:id="rId4"/>
    <sheet name="Detail1" sheetId="16" state="hidden" r:id="rId5"/>
    <sheet name="Travel_Bookings" sheetId="1" r:id="rId6"/>
    <sheet name="raw age analysis" sheetId="6" r:id="rId7"/>
    <sheet name="age group analysis" sheetId="7" r:id="rId8"/>
    <sheet name="gender analysis" sheetId="8" r:id="rId9"/>
    <sheet name="monthly analysis" sheetId="9" r:id="rId10"/>
    <sheet name="revenue by gender" sheetId="10" r:id="rId11"/>
    <sheet name="revenue by age_group" sheetId="11" r:id="rId12"/>
    <sheet name="revenue by month" sheetId="12" r:id="rId13"/>
    <sheet name="dashboard" sheetId="13" r:id="rId14"/>
    <sheet name="cancellation rate" sheetId="14" r:id="rId15"/>
    <sheet name="revenue by dest" sheetId="15" r:id="rId16"/>
    <sheet name="Average Package Cost Analysis b" sheetId="17" r:id="rId17"/>
    <sheet name="Customer Segmentation Analysis" sheetId="18" r:id="rId18"/>
    <sheet name="package cost analysis" sheetId="19" r:id="rId19"/>
    <sheet name="Destination Performance" sheetId="22" r:id="rId20"/>
  </sheets>
  <calcPr calcId="191028"/>
  <pivotCaches>
    <pivotCache cacheId="0" r:id="rId21"/>
    <pivotCache cacheId="1" r:id="rId22"/>
    <pivotCache cacheId="2" r:id="rId23"/>
    <pivotCache cacheId="3" r:id="rId24"/>
    <pivotCache cacheId="4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 a="1"/>
  <c r="B1" i="10" s="1"/>
  <c r="P4" i="15"/>
  <c r="P5" i="15"/>
  <c r="P6" i="15"/>
  <c r="P7" i="15"/>
  <c r="P8" i="15"/>
  <c r="P3" i="15"/>
  <c r="K114" i="1"/>
  <c r="K150" i="1"/>
  <c r="K68" i="1"/>
  <c r="K32" i="1"/>
  <c r="K173" i="1"/>
  <c r="K149" i="1"/>
  <c r="K39" i="1"/>
  <c r="K141" i="1"/>
  <c r="K3" i="1"/>
  <c r="K157" i="1"/>
  <c r="K15" i="1"/>
  <c r="K96" i="1"/>
  <c r="K201" i="1"/>
  <c r="K130" i="1"/>
  <c r="K84" i="1"/>
  <c r="K12" i="1"/>
  <c r="K121" i="1"/>
  <c r="K28" i="1"/>
  <c r="K78" i="1"/>
  <c r="K13" i="1"/>
  <c r="K189" i="1"/>
  <c r="K81" i="1"/>
  <c r="K105" i="1"/>
  <c r="K137" i="1"/>
  <c r="K63" i="1"/>
  <c r="K177" i="1"/>
  <c r="K2" i="1"/>
  <c r="K33" i="1"/>
  <c r="K89" i="1"/>
  <c r="K175" i="1"/>
  <c r="K92" i="1"/>
  <c r="K145" i="1"/>
  <c r="K186" i="1"/>
  <c r="K191" i="1"/>
  <c r="K87" i="1"/>
  <c r="K18" i="1"/>
  <c r="K112" i="1"/>
  <c r="K183" i="1"/>
  <c r="K164" i="1"/>
  <c r="K67" i="1"/>
  <c r="K49" i="1"/>
  <c r="K132" i="1"/>
  <c r="K38" i="1"/>
  <c r="K192" i="1"/>
  <c r="K109" i="1"/>
  <c r="K161" i="1"/>
  <c r="K176" i="1"/>
  <c r="K98" i="1"/>
  <c r="K120" i="1"/>
  <c r="K171" i="1"/>
  <c r="K184" i="1"/>
  <c r="K122" i="1"/>
  <c r="K93" i="1"/>
  <c r="K116" i="1"/>
  <c r="K95" i="1"/>
  <c r="K110" i="1"/>
  <c r="K21" i="1"/>
  <c r="K83" i="1"/>
  <c r="K146" i="1"/>
  <c r="K14" i="1"/>
  <c r="K182" i="1"/>
  <c r="K193" i="1"/>
  <c r="K69" i="1"/>
  <c r="K115" i="1"/>
  <c r="K188" i="1"/>
  <c r="K86" i="1"/>
  <c r="K187" i="1"/>
  <c r="K152" i="1"/>
  <c r="K124" i="1"/>
  <c r="K44" i="1"/>
  <c r="K158" i="1"/>
  <c r="K104" i="1"/>
  <c r="K24" i="1"/>
  <c r="K60" i="1"/>
  <c r="K108" i="1"/>
  <c r="K54" i="1"/>
  <c r="K46" i="1"/>
  <c r="K85" i="1"/>
  <c r="K62" i="1"/>
  <c r="K100" i="1"/>
  <c r="K66" i="1"/>
  <c r="K118" i="1"/>
  <c r="K51" i="1"/>
  <c r="K55" i="1"/>
  <c r="K196" i="1"/>
  <c r="K52" i="1"/>
  <c r="K31" i="1"/>
  <c r="K131" i="1"/>
  <c r="K126" i="1"/>
  <c r="K113" i="1"/>
  <c r="K34" i="1"/>
  <c r="K134" i="1"/>
  <c r="K77" i="1"/>
  <c r="K64" i="1"/>
  <c r="K29" i="1"/>
  <c r="K170" i="1"/>
  <c r="K128" i="1"/>
  <c r="K133" i="1"/>
  <c r="K26" i="1"/>
  <c r="K53" i="1"/>
  <c r="K36" i="1"/>
  <c r="K156" i="1"/>
  <c r="K45" i="1"/>
  <c r="K143" i="1"/>
  <c r="K71" i="1"/>
  <c r="K197" i="1"/>
  <c r="K72" i="1"/>
  <c r="K135" i="1"/>
  <c r="K111" i="1"/>
  <c r="K166" i="1"/>
  <c r="K22" i="1"/>
  <c r="K58" i="1"/>
  <c r="K147" i="1"/>
  <c r="K163" i="1"/>
  <c r="K190" i="1"/>
  <c r="K56" i="1"/>
  <c r="K35" i="1"/>
  <c r="K125" i="1"/>
  <c r="K139" i="1"/>
  <c r="K154" i="1"/>
  <c r="K127" i="1"/>
  <c r="K5" i="1"/>
  <c r="K180" i="1"/>
  <c r="K74" i="1"/>
  <c r="K11" i="1"/>
  <c r="K47" i="1"/>
  <c r="K25" i="1"/>
  <c r="K172" i="1"/>
  <c r="K106" i="1"/>
  <c r="K40" i="1"/>
  <c r="K37" i="1"/>
  <c r="K42" i="1"/>
  <c r="K75" i="1"/>
  <c r="K70" i="1"/>
  <c r="K6" i="1"/>
  <c r="K19" i="1"/>
  <c r="K181" i="1"/>
  <c r="K59" i="1"/>
  <c r="K88" i="1"/>
  <c r="K144" i="1"/>
  <c r="K153" i="1"/>
  <c r="K119" i="1"/>
  <c r="K73" i="1"/>
  <c r="K165" i="1"/>
  <c r="K48" i="1"/>
  <c r="K200" i="1"/>
  <c r="K30" i="1"/>
  <c r="K178" i="1"/>
  <c r="K76" i="1"/>
  <c r="K16" i="1"/>
  <c r="K50" i="1"/>
  <c r="K117" i="1"/>
  <c r="K94" i="1"/>
  <c r="K194" i="1"/>
  <c r="K7" i="1"/>
  <c r="K162" i="1"/>
  <c r="K129" i="1"/>
  <c r="K9" i="1"/>
  <c r="K57" i="1"/>
  <c r="K80" i="1"/>
  <c r="K97" i="1"/>
  <c r="K142" i="1"/>
  <c r="K41" i="1"/>
  <c r="K174" i="1"/>
  <c r="K199" i="1"/>
  <c r="K4" i="1"/>
  <c r="K27" i="1"/>
  <c r="K123" i="1"/>
  <c r="K136" i="1"/>
  <c r="K167" i="1"/>
  <c r="K10" i="1"/>
  <c r="K61" i="1"/>
  <c r="K99" i="1"/>
  <c r="K20" i="1"/>
  <c r="K140" i="1"/>
  <c r="K185" i="1"/>
  <c r="K90" i="1"/>
  <c r="K65" i="1"/>
  <c r="K148" i="1"/>
  <c r="K102" i="1"/>
  <c r="K17" i="1"/>
  <c r="K160" i="1"/>
  <c r="K168" i="1"/>
  <c r="K101" i="1"/>
  <c r="K155" i="1"/>
  <c r="K103" i="1"/>
  <c r="K198" i="1"/>
  <c r="K169" i="1"/>
  <c r="K159" i="1"/>
  <c r="K23" i="1"/>
  <c r="K91" i="1"/>
  <c r="K151" i="1"/>
  <c r="K8" i="1"/>
  <c r="K43" i="1"/>
  <c r="K195" i="1"/>
  <c r="K179" i="1"/>
  <c r="K138" i="1"/>
  <c r="K79" i="1"/>
  <c r="K107" i="1"/>
  <c r="K82" i="1"/>
  <c r="I5" i="14"/>
  <c r="I6" i="14"/>
  <c r="I7" i="14"/>
  <c r="I8" i="14"/>
  <c r="I9" i="14"/>
  <c r="I4" i="14"/>
  <c r="L8" i="13"/>
  <c r="J4" i="1"/>
  <c r="J27" i="1"/>
  <c r="J123" i="1"/>
  <c r="J136" i="1"/>
  <c r="J167" i="1"/>
  <c r="J10" i="1"/>
  <c r="J61" i="1"/>
  <c r="J99" i="1"/>
  <c r="J20" i="1"/>
  <c r="J140" i="1"/>
  <c r="J185" i="1"/>
  <c r="J90" i="1"/>
  <c r="J65" i="1"/>
  <c r="J148" i="1"/>
  <c r="J102" i="1"/>
  <c r="J17" i="1"/>
  <c r="J160" i="1"/>
  <c r="J168" i="1"/>
  <c r="J101" i="1"/>
  <c r="J155" i="1"/>
  <c r="J103" i="1"/>
  <c r="J198" i="1"/>
  <c r="J169" i="1"/>
  <c r="J159" i="1"/>
  <c r="J23" i="1"/>
  <c r="J91" i="1"/>
  <c r="J151" i="1"/>
  <c r="J8" i="1"/>
  <c r="J43" i="1"/>
  <c r="J195" i="1"/>
  <c r="J179" i="1"/>
  <c r="J138" i="1"/>
  <c r="J79" i="1"/>
  <c r="J107" i="1"/>
  <c r="J114" i="1"/>
  <c r="J150" i="1"/>
  <c r="J68" i="1"/>
  <c r="J32" i="1"/>
  <c r="J173" i="1"/>
  <c r="J149" i="1"/>
  <c r="J39" i="1"/>
  <c r="J141" i="1"/>
  <c r="J3" i="1"/>
  <c r="J157" i="1"/>
  <c r="J15" i="1"/>
  <c r="J96" i="1"/>
  <c r="J201" i="1"/>
  <c r="J130" i="1"/>
  <c r="J84" i="1"/>
  <c r="J12" i="1"/>
  <c r="J121" i="1"/>
  <c r="J28" i="1"/>
  <c r="J78" i="1"/>
  <c r="J13" i="1"/>
  <c r="J189" i="1"/>
  <c r="J81" i="1"/>
  <c r="J105" i="1"/>
  <c r="J137" i="1"/>
  <c r="J63" i="1"/>
  <c r="J177" i="1"/>
  <c r="J2" i="1"/>
  <c r="J33" i="1"/>
  <c r="J89" i="1"/>
  <c r="J175" i="1"/>
  <c r="J92" i="1"/>
  <c r="J145" i="1"/>
  <c r="J186" i="1"/>
  <c r="J191" i="1"/>
  <c r="J87" i="1"/>
  <c r="J18" i="1"/>
  <c r="J112" i="1"/>
  <c r="J183" i="1"/>
  <c r="J164" i="1"/>
  <c r="J67" i="1"/>
  <c r="J49" i="1"/>
  <c r="J132" i="1"/>
  <c r="J38" i="1"/>
  <c r="J192" i="1"/>
  <c r="J109" i="1"/>
  <c r="J161" i="1"/>
  <c r="J176" i="1"/>
  <c r="J98" i="1"/>
  <c r="J120" i="1"/>
  <c r="J171" i="1"/>
  <c r="J184" i="1"/>
  <c r="J122" i="1"/>
  <c r="J93" i="1"/>
  <c r="J116" i="1"/>
  <c r="J95" i="1"/>
  <c r="J110" i="1"/>
  <c r="J21" i="1"/>
  <c r="J83" i="1"/>
  <c r="J146" i="1"/>
  <c r="J14" i="1"/>
  <c r="J182" i="1"/>
  <c r="J193" i="1"/>
  <c r="J69" i="1"/>
  <c r="J115" i="1"/>
  <c r="J188" i="1"/>
  <c r="J86" i="1"/>
  <c r="J187" i="1"/>
  <c r="J152" i="1"/>
  <c r="J124" i="1"/>
  <c r="J44" i="1"/>
  <c r="J158" i="1"/>
  <c r="J104" i="1"/>
  <c r="J24" i="1"/>
  <c r="J60" i="1"/>
  <c r="J108" i="1"/>
  <c r="J54" i="1"/>
  <c r="J46" i="1"/>
  <c r="J85" i="1"/>
  <c r="J62" i="1"/>
  <c r="J100" i="1"/>
  <c r="J66" i="1"/>
  <c r="J118" i="1"/>
  <c r="J51" i="1"/>
  <c r="J55" i="1"/>
  <c r="J196" i="1"/>
  <c r="J52" i="1"/>
  <c r="J31" i="1"/>
  <c r="J131" i="1"/>
  <c r="J126" i="1"/>
  <c r="J113" i="1"/>
  <c r="J34" i="1"/>
  <c r="J134" i="1"/>
  <c r="J77" i="1"/>
  <c r="J64" i="1"/>
  <c r="J29" i="1"/>
  <c r="J170" i="1"/>
  <c r="J128" i="1"/>
  <c r="J133" i="1"/>
  <c r="J26" i="1"/>
  <c r="J53" i="1"/>
  <c r="J36" i="1"/>
  <c r="J156" i="1"/>
  <c r="J45" i="1"/>
  <c r="J143" i="1"/>
  <c r="J71" i="1"/>
  <c r="J197" i="1"/>
  <c r="J72" i="1"/>
  <c r="J135" i="1"/>
  <c r="J111" i="1"/>
  <c r="J166" i="1"/>
  <c r="J22" i="1"/>
  <c r="J58" i="1"/>
  <c r="J147" i="1"/>
  <c r="J163" i="1"/>
  <c r="J190" i="1"/>
  <c r="J56" i="1"/>
  <c r="J35" i="1"/>
  <c r="J125" i="1"/>
  <c r="J139" i="1"/>
  <c r="J154" i="1"/>
  <c r="J127" i="1"/>
  <c r="J5" i="1"/>
  <c r="J180" i="1"/>
  <c r="J74" i="1"/>
  <c r="J11" i="1"/>
  <c r="J47" i="1"/>
  <c r="J25" i="1"/>
  <c r="J172" i="1"/>
  <c r="J106" i="1"/>
  <c r="J40" i="1"/>
  <c r="J37" i="1"/>
  <c r="J42" i="1"/>
  <c r="J75" i="1"/>
  <c r="J70" i="1"/>
  <c r="J6" i="1"/>
  <c r="J19" i="1"/>
  <c r="J181" i="1"/>
  <c r="J59" i="1"/>
  <c r="J88" i="1"/>
  <c r="J144" i="1"/>
  <c r="J153" i="1"/>
  <c r="J119" i="1"/>
  <c r="J73" i="1"/>
  <c r="J165" i="1"/>
  <c r="J48" i="1"/>
  <c r="J200" i="1"/>
  <c r="J30" i="1"/>
  <c r="J178" i="1"/>
  <c r="J76" i="1"/>
  <c r="J16" i="1"/>
  <c r="J50" i="1"/>
  <c r="J117" i="1"/>
  <c r="J94" i="1"/>
  <c r="J194" i="1"/>
  <c r="J7" i="1"/>
  <c r="J162" i="1"/>
  <c r="J129" i="1"/>
  <c r="J9" i="1"/>
  <c r="J57" i="1"/>
  <c r="J80" i="1"/>
  <c r="J97" i="1"/>
  <c r="J142" i="1"/>
  <c r="J41" i="1"/>
  <c r="J174" i="1"/>
  <c r="J199" i="1"/>
  <c r="J82" i="1"/>
  <c r="I114" i="1"/>
  <c r="I150" i="1"/>
  <c r="I68" i="1"/>
  <c r="I32" i="1"/>
  <c r="I173" i="1"/>
  <c r="I149" i="1"/>
  <c r="I39" i="1"/>
  <c r="I141" i="1"/>
  <c r="I3" i="1"/>
  <c r="I157" i="1"/>
  <c r="I15" i="1"/>
  <c r="I96" i="1"/>
  <c r="I201" i="1"/>
  <c r="I130" i="1"/>
  <c r="I84" i="1"/>
  <c r="I12" i="1"/>
  <c r="I121" i="1"/>
  <c r="I28" i="1"/>
  <c r="I78" i="1"/>
  <c r="I13" i="1"/>
  <c r="I189" i="1"/>
  <c r="I81" i="1"/>
  <c r="I105" i="1"/>
  <c r="I137" i="1"/>
  <c r="I63" i="1"/>
  <c r="I177" i="1"/>
  <c r="I2" i="1"/>
  <c r="I33" i="1"/>
  <c r="I89" i="1"/>
  <c r="I175" i="1"/>
  <c r="I92" i="1"/>
  <c r="I145" i="1"/>
  <c r="I186" i="1"/>
  <c r="I191" i="1"/>
  <c r="I87" i="1"/>
  <c r="I18" i="1"/>
  <c r="I112" i="1"/>
  <c r="I183" i="1"/>
  <c r="I164" i="1"/>
  <c r="I67" i="1"/>
  <c r="I49" i="1"/>
  <c r="I132" i="1"/>
  <c r="I38" i="1"/>
  <c r="I192" i="1"/>
  <c r="I109" i="1"/>
  <c r="I161" i="1"/>
  <c r="I176" i="1"/>
  <c r="I98" i="1"/>
  <c r="I120" i="1"/>
  <c r="I171" i="1"/>
  <c r="I184" i="1"/>
  <c r="I122" i="1"/>
  <c r="I93" i="1"/>
  <c r="I116" i="1"/>
  <c r="I95" i="1"/>
  <c r="I110" i="1"/>
  <c r="I21" i="1"/>
  <c r="I83" i="1"/>
  <c r="I146" i="1"/>
  <c r="I14" i="1"/>
  <c r="I182" i="1"/>
  <c r="I193" i="1"/>
  <c r="I69" i="1"/>
  <c r="I115" i="1"/>
  <c r="I188" i="1"/>
  <c r="I86" i="1"/>
  <c r="I187" i="1"/>
  <c r="I152" i="1"/>
  <c r="I124" i="1"/>
  <c r="I44" i="1"/>
  <c r="I158" i="1"/>
  <c r="I104" i="1"/>
  <c r="I24" i="1"/>
  <c r="I60" i="1"/>
  <c r="I108" i="1"/>
  <c r="I54" i="1"/>
  <c r="I46" i="1"/>
  <c r="I85" i="1"/>
  <c r="I62" i="1"/>
  <c r="I100" i="1"/>
  <c r="I66" i="1"/>
  <c r="I118" i="1"/>
  <c r="I51" i="1"/>
  <c r="I55" i="1"/>
  <c r="I196" i="1"/>
  <c r="I52" i="1"/>
  <c r="I31" i="1"/>
  <c r="I131" i="1"/>
  <c r="I126" i="1"/>
  <c r="I113" i="1"/>
  <c r="I34" i="1"/>
  <c r="I134" i="1"/>
  <c r="I77" i="1"/>
  <c r="I64" i="1"/>
  <c r="I29" i="1"/>
  <c r="I170" i="1"/>
  <c r="I128" i="1"/>
  <c r="I133" i="1"/>
  <c r="I26" i="1"/>
  <c r="I53" i="1"/>
  <c r="I36" i="1"/>
  <c r="I156" i="1"/>
  <c r="I45" i="1"/>
  <c r="I143" i="1"/>
  <c r="I71" i="1"/>
  <c r="I197" i="1"/>
  <c r="I72" i="1"/>
  <c r="I135" i="1"/>
  <c r="I111" i="1"/>
  <c r="I166" i="1"/>
  <c r="I22" i="1"/>
  <c r="I58" i="1"/>
  <c r="I147" i="1"/>
  <c r="I163" i="1"/>
  <c r="I190" i="1"/>
  <c r="I56" i="1"/>
  <c r="I35" i="1"/>
  <c r="I125" i="1"/>
  <c r="I139" i="1"/>
  <c r="I154" i="1"/>
  <c r="I127" i="1"/>
  <c r="I5" i="1"/>
  <c r="I180" i="1"/>
  <c r="I74" i="1"/>
  <c r="I11" i="1"/>
  <c r="I47" i="1"/>
  <c r="I25" i="1"/>
  <c r="I172" i="1"/>
  <c r="I106" i="1"/>
  <c r="I40" i="1"/>
  <c r="I37" i="1"/>
  <c r="I42" i="1"/>
  <c r="I75" i="1"/>
  <c r="I70" i="1"/>
  <c r="I6" i="1"/>
  <c r="I19" i="1"/>
  <c r="I181" i="1"/>
  <c r="I59" i="1"/>
  <c r="I88" i="1"/>
  <c r="I144" i="1"/>
  <c r="I153" i="1"/>
  <c r="I119" i="1"/>
  <c r="I73" i="1"/>
  <c r="I165" i="1"/>
  <c r="I48" i="1"/>
  <c r="I200" i="1"/>
  <c r="I30" i="1"/>
  <c r="I178" i="1"/>
  <c r="I76" i="1"/>
  <c r="I16" i="1"/>
  <c r="I50" i="1"/>
  <c r="I117" i="1"/>
  <c r="I94" i="1"/>
  <c r="I194" i="1"/>
  <c r="I7" i="1"/>
  <c r="I162" i="1"/>
  <c r="I129" i="1"/>
  <c r="I9" i="1"/>
  <c r="I57" i="1"/>
  <c r="I80" i="1"/>
  <c r="I97" i="1"/>
  <c r="I142" i="1"/>
  <c r="I41" i="1"/>
  <c r="I174" i="1"/>
  <c r="I199" i="1"/>
  <c r="I4" i="1"/>
  <c r="I27" i="1"/>
  <c r="I123" i="1"/>
  <c r="I136" i="1"/>
  <c r="I167" i="1"/>
  <c r="I10" i="1"/>
  <c r="I61" i="1"/>
  <c r="I99" i="1"/>
  <c r="I20" i="1"/>
  <c r="I140" i="1"/>
  <c r="I185" i="1"/>
  <c r="I90" i="1"/>
  <c r="I65" i="1"/>
  <c r="I148" i="1"/>
  <c r="I102" i="1"/>
  <c r="I17" i="1"/>
  <c r="I160" i="1"/>
  <c r="I168" i="1"/>
  <c r="I101" i="1"/>
  <c r="I155" i="1"/>
  <c r="I103" i="1"/>
  <c r="I198" i="1"/>
  <c r="I169" i="1"/>
  <c r="I159" i="1"/>
  <c r="I23" i="1"/>
  <c r="I91" i="1"/>
  <c r="I151" i="1"/>
  <c r="I8" i="1"/>
  <c r="I43" i="1"/>
  <c r="I195" i="1"/>
  <c r="I179" i="1"/>
  <c r="I138" i="1"/>
  <c r="I79" i="1"/>
  <c r="I107" i="1"/>
  <c r="I8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<sst xmlns="http://schemas.openxmlformats.org/spreadsheetml/2006/main" count="1666" uniqueCount="417">
  <si>
    <t>Booking_ID</t>
  </si>
  <si>
    <t>Customer_Name</t>
  </si>
  <si>
    <t>Age</t>
  </si>
  <si>
    <t>Gender</t>
  </si>
  <si>
    <t>Destination</t>
  </si>
  <si>
    <t>Package_Cost</t>
  </si>
  <si>
    <t>Booking_Date</t>
  </si>
  <si>
    <t>Status</t>
  </si>
  <si>
    <t>B195</t>
  </si>
  <si>
    <t>Karan Mehta</t>
  </si>
  <si>
    <t>M</t>
  </si>
  <si>
    <t>Bali</t>
  </si>
  <si>
    <t>28-02-2026</t>
  </si>
  <si>
    <t>Cancelled</t>
  </si>
  <si>
    <t>B194</t>
  </si>
  <si>
    <t>Aisha Khan</t>
  </si>
  <si>
    <t>F</t>
  </si>
  <si>
    <t>05-01-2026</t>
  </si>
  <si>
    <t>Confirmed</t>
  </si>
  <si>
    <t>B182</t>
  </si>
  <si>
    <t>Rohan Das</t>
  </si>
  <si>
    <t>17-04-2026</t>
  </si>
  <si>
    <t>B173</t>
  </si>
  <si>
    <t>Meera Iyer</t>
  </si>
  <si>
    <t>15-04-2026</t>
  </si>
  <si>
    <t>B005</t>
  </si>
  <si>
    <t>16-03-2026</t>
  </si>
  <si>
    <t>B172</t>
  </si>
  <si>
    <t>Sarthak Roy</t>
  </si>
  <si>
    <t>07-03-2026</t>
  </si>
  <si>
    <t>B168</t>
  </si>
  <si>
    <t>Rahul Sharma</t>
  </si>
  <si>
    <t>10-02-2026</t>
  </si>
  <si>
    <t>B008</t>
  </si>
  <si>
    <t>Nikhil Joshi</t>
  </si>
  <si>
    <t>20-04-2026</t>
  </si>
  <si>
    <t>B167</t>
  </si>
  <si>
    <t>Arjun Kumar</t>
  </si>
  <si>
    <t>20-06-2026</t>
  </si>
  <si>
    <t>B010</t>
  </si>
  <si>
    <t>Harsh Vardhan</t>
  </si>
  <si>
    <t>09-05-2026</t>
  </si>
  <si>
    <t>B159</t>
  </si>
  <si>
    <t>24-01-2026</t>
  </si>
  <si>
    <t>B156</t>
  </si>
  <si>
    <t>Ritika Sharma</t>
  </si>
  <si>
    <t>06-01-2026</t>
  </si>
  <si>
    <t>B148</t>
  </si>
  <si>
    <t>26-06-2026</t>
  </si>
  <si>
    <t>B136</t>
  </si>
  <si>
    <t>Aditya Verma</t>
  </si>
  <si>
    <t>06-02-2026</t>
  </si>
  <si>
    <t>B133</t>
  </si>
  <si>
    <t>Kavya Reddy</t>
  </si>
  <si>
    <t>19-04-2026</t>
  </si>
  <si>
    <t>B128</t>
  </si>
  <si>
    <t>02-04-2026</t>
  </si>
  <si>
    <t>B017</t>
  </si>
  <si>
    <t>Pooja Nair</t>
  </si>
  <si>
    <t>15-01-2026</t>
  </si>
  <si>
    <t>B126</t>
  </si>
  <si>
    <t>Aman Jain</t>
  </si>
  <si>
    <t>26-02-2026</t>
  </si>
  <si>
    <t>B123</t>
  </si>
  <si>
    <t>Sneha Patel</t>
  </si>
  <si>
    <t>01-02-2026</t>
  </si>
  <si>
    <t>B113</t>
  </si>
  <si>
    <t>12-06-2026</t>
  </si>
  <si>
    <t>B021</t>
  </si>
  <si>
    <t>B102</t>
  </si>
  <si>
    <t>Vikram Rao</t>
  </si>
  <si>
    <t>05-04-2026</t>
  </si>
  <si>
    <t>B096</t>
  </si>
  <si>
    <t>Yash Gupta</t>
  </si>
  <si>
    <t>23-04-2026</t>
  </si>
  <si>
    <t>B092</t>
  </si>
  <si>
    <t>Neha Gupta</t>
  </si>
  <si>
    <t>07-05-2026</t>
  </si>
  <si>
    <t>B087</t>
  </si>
  <si>
    <t>19-03-2026</t>
  </si>
  <si>
    <t>B085</t>
  </si>
  <si>
    <t>29-06-2026</t>
  </si>
  <si>
    <t>B084</t>
  </si>
  <si>
    <t>03-04-2026</t>
  </si>
  <si>
    <t>B028</t>
  </si>
  <si>
    <t>13-03-2026</t>
  </si>
  <si>
    <t>B029</t>
  </si>
  <si>
    <t>19-05-2026</t>
  </si>
  <si>
    <t>B077</t>
  </si>
  <si>
    <t>Priya Singh</t>
  </si>
  <si>
    <t>13-04-2026</t>
  </si>
  <si>
    <t>B061</t>
  </si>
  <si>
    <t>27-02-2026</t>
  </si>
  <si>
    <t>B044</t>
  </si>
  <si>
    <t>18-02-2026</t>
  </si>
  <si>
    <t>Count of Booking_ID</t>
  </si>
  <si>
    <t>Dubai</t>
  </si>
  <si>
    <t>Goa</t>
  </si>
  <si>
    <t>Kashmir</t>
  </si>
  <si>
    <t>Kerala</t>
  </si>
  <si>
    <t>Manali</t>
  </si>
  <si>
    <t>Grand Total</t>
  </si>
  <si>
    <t>Sum of Package_Cost</t>
  </si>
  <si>
    <t>Metric</t>
  </si>
  <si>
    <t>Value</t>
  </si>
  <si>
    <t>Total Bookings</t>
  </si>
  <si>
    <t>Confirmed Bookings</t>
  </si>
  <si>
    <t>Cancelled Bookings</t>
  </si>
  <si>
    <t>Cancellation Rate</t>
  </si>
  <si>
    <t>Top Destination (Bookings)</t>
  </si>
  <si>
    <t>Top Revenue Destination</t>
  </si>
  <si>
    <t>Highest Revenue</t>
  </si>
  <si>
    <t>₹24,93,352</t>
  </si>
  <si>
    <t>Details for Sum of Package_Cost - Destination: Bali</t>
  </si>
  <si>
    <t>Age_group</t>
  </si>
  <si>
    <t>Month</t>
  </si>
  <si>
    <t>46-50</t>
  </si>
  <si>
    <t>02</t>
  </si>
  <si>
    <t>41-45</t>
  </si>
  <si>
    <t>01</t>
  </si>
  <si>
    <t>26-30</t>
  </si>
  <si>
    <t>04</t>
  </si>
  <si>
    <t>36-40</t>
  </si>
  <si>
    <t>03</t>
  </si>
  <si>
    <t>31-35</t>
  </si>
  <si>
    <t>06</t>
  </si>
  <si>
    <t>05</t>
  </si>
  <si>
    <t>21-25</t>
  </si>
  <si>
    <t>Customer_Segment</t>
  </si>
  <si>
    <t>B012</t>
  </si>
  <si>
    <t>12-04-2026</t>
  </si>
  <si>
    <t>B151</t>
  </si>
  <si>
    <t>16-02-2026</t>
  </si>
  <si>
    <t>B037</t>
  </si>
  <si>
    <t>08-01-2026</t>
  </si>
  <si>
    <t>B137</t>
  </si>
  <si>
    <t>Ananya Das</t>
  </si>
  <si>
    <t>03-05-2026</t>
  </si>
  <si>
    <t>B175</t>
  </si>
  <si>
    <t>25-01-2026</t>
  </si>
  <si>
    <t>B058</t>
  </si>
  <si>
    <t>06-06-2026</t>
  </si>
  <si>
    <t>B112</t>
  </si>
  <si>
    <t>B191</t>
  </si>
  <si>
    <t>09-04-2026</t>
  </si>
  <si>
    <t>B074</t>
  </si>
  <si>
    <t>14-02-2026</t>
  </si>
  <si>
    <t>B100</t>
  </si>
  <si>
    <t>09-01-2026</t>
  </si>
  <si>
    <t>B019</t>
  </si>
  <si>
    <t>04-02-2026</t>
  </si>
  <si>
    <t>B088</t>
  </si>
  <si>
    <t>30-05-2026</t>
  </si>
  <si>
    <t>B118</t>
  </si>
  <si>
    <t>21-02-2026</t>
  </si>
  <si>
    <t>B132</t>
  </si>
  <si>
    <t>16-05-2026</t>
  </si>
  <si>
    <t>B131</t>
  </si>
  <si>
    <t>B164</t>
  </si>
  <si>
    <t>B071</t>
  </si>
  <si>
    <t>B104</t>
  </si>
  <si>
    <t>20-01-2026</t>
  </si>
  <si>
    <t>B078</t>
  </si>
  <si>
    <t>27-01-2026</t>
  </si>
  <si>
    <t>B127</t>
  </si>
  <si>
    <t>10-04-2026</t>
  </si>
  <si>
    <t>B146</t>
  </si>
  <si>
    <t>04-01-2026</t>
  </si>
  <si>
    <t>B042</t>
  </si>
  <si>
    <t>02-06-2026</t>
  </si>
  <si>
    <t>B152</t>
  </si>
  <si>
    <t>13-06-2026</t>
  </si>
  <si>
    <t>B101</t>
  </si>
  <si>
    <t>19-01-2026</t>
  </si>
  <si>
    <t>B117</t>
  </si>
  <si>
    <t>12-02-2026</t>
  </si>
  <si>
    <t>B160</t>
  </si>
  <si>
    <t>22-06-2026</t>
  </si>
  <si>
    <t>B139</t>
  </si>
  <si>
    <t>03-02-2026</t>
  </si>
  <si>
    <t>B075</t>
  </si>
  <si>
    <t>B080</t>
  </si>
  <si>
    <t>12-03-2026</t>
  </si>
  <si>
    <t>B026</t>
  </si>
  <si>
    <t>08-05-2026</t>
  </si>
  <si>
    <t>B095</t>
  </si>
  <si>
    <t>16-04-2026</t>
  </si>
  <si>
    <t>B179</t>
  </si>
  <si>
    <t>22-02-2026</t>
  </si>
  <si>
    <t>B082</t>
  </si>
  <si>
    <t>21-05-2026</t>
  </si>
  <si>
    <t>B041</t>
  </si>
  <si>
    <t>04-03-2026</t>
  </si>
  <si>
    <t>B004</t>
  </si>
  <si>
    <t>10-01-2026</t>
  </si>
  <si>
    <t>B064</t>
  </si>
  <si>
    <t>B135</t>
  </si>
  <si>
    <t>B106</t>
  </si>
  <si>
    <t>16-06-2026</t>
  </si>
  <si>
    <t>B108</t>
  </si>
  <si>
    <t>14-03-2026</t>
  </si>
  <si>
    <t>B144</t>
  </si>
  <si>
    <t>B125</t>
  </si>
  <si>
    <t>11-04-2026</t>
  </si>
  <si>
    <t>B134</t>
  </si>
  <si>
    <t>19-06-2026</t>
  </si>
  <si>
    <t>B150</t>
  </si>
  <si>
    <t>B094</t>
  </si>
  <si>
    <t>11-05-2026</t>
  </si>
  <si>
    <t>B020</t>
  </si>
  <si>
    <t>B199</t>
  </si>
  <si>
    <t>25-03-2026</t>
  </si>
  <si>
    <t>B161</t>
  </si>
  <si>
    <t>B023</t>
  </si>
  <si>
    <t>04-05-2026</t>
  </si>
  <si>
    <t>B001</t>
  </si>
  <si>
    <t>20-03-2026</t>
  </si>
  <si>
    <t>B059</t>
  </si>
  <si>
    <t>31-01-2026</t>
  </si>
  <si>
    <t>B016</t>
  </si>
  <si>
    <t>21-03-2026</t>
  </si>
  <si>
    <t>B079</t>
  </si>
  <si>
    <t>20-05-2026</t>
  </si>
  <si>
    <t>B067</t>
  </si>
  <si>
    <t>16-01-2026</t>
  </si>
  <si>
    <t>B036</t>
  </si>
  <si>
    <t>B140</t>
  </si>
  <si>
    <t>26-04-2026</t>
  </si>
  <si>
    <t>B030</t>
  </si>
  <si>
    <t>06-03-2026</t>
  </si>
  <si>
    <t>B178</t>
  </si>
  <si>
    <t>B192</t>
  </si>
  <si>
    <t>B032</t>
  </si>
  <si>
    <t>27-06-2026</t>
  </si>
  <si>
    <t>B054</t>
  </si>
  <si>
    <t>01-03-2026</t>
  </si>
  <si>
    <t>B154</t>
  </si>
  <si>
    <t>B056</t>
  </si>
  <si>
    <t>B013</t>
  </si>
  <si>
    <t>B162</t>
  </si>
  <si>
    <t>B049</t>
  </si>
  <si>
    <t>08-02-2026</t>
  </si>
  <si>
    <t>B174</t>
  </si>
  <si>
    <t>B081</t>
  </si>
  <si>
    <t>B185</t>
  </si>
  <si>
    <t>28-06-2026</t>
  </si>
  <si>
    <t>B181</t>
  </si>
  <si>
    <t>B187</t>
  </si>
  <si>
    <t>14-04-2026</t>
  </si>
  <si>
    <t>B073</t>
  </si>
  <si>
    <t>B024</t>
  </si>
  <si>
    <t>B130</t>
  </si>
  <si>
    <t>B200</t>
  </si>
  <si>
    <t>31-05-2026</t>
  </si>
  <si>
    <t>B076</t>
  </si>
  <si>
    <t>B046</t>
  </si>
  <si>
    <t>B057</t>
  </si>
  <si>
    <t>B110</t>
  </si>
  <si>
    <t>B038</t>
  </si>
  <si>
    <t>13-05-2026</t>
  </si>
  <si>
    <t>B091</t>
  </si>
  <si>
    <t>07-01-2026</t>
  </si>
  <si>
    <t>B002</t>
  </si>
  <si>
    <t>27-05-2026</t>
  </si>
  <si>
    <t>B065</t>
  </si>
  <si>
    <t>01-06-2026</t>
  </si>
  <si>
    <t>B055</t>
  </si>
  <si>
    <t>B153</t>
  </si>
  <si>
    <t>24-05-2026</t>
  </si>
  <si>
    <t>B083</t>
  </si>
  <si>
    <t>24-03-2026</t>
  </si>
  <si>
    <t>B143</t>
  </si>
  <si>
    <t>B050</t>
  </si>
  <si>
    <t>02-02-2026</t>
  </si>
  <si>
    <t>B018</t>
  </si>
  <si>
    <t>24-06-2026</t>
  </si>
  <si>
    <t>B053</t>
  </si>
  <si>
    <t>25-02-2026</t>
  </si>
  <si>
    <t>B169</t>
  </si>
  <si>
    <t>17-05-2026</t>
  </si>
  <si>
    <t>B070</t>
  </si>
  <si>
    <t>B119</t>
  </si>
  <si>
    <t>B090</t>
  </si>
  <si>
    <t>24-04-2026</t>
  </si>
  <si>
    <t>B122</t>
  </si>
  <si>
    <t>B098</t>
  </si>
  <si>
    <t>19-02-2026</t>
  </si>
  <si>
    <t>B158</t>
  </si>
  <si>
    <t>B015</t>
  </si>
  <si>
    <t>B089</t>
  </si>
  <si>
    <t>B043</t>
  </si>
  <si>
    <t>05-05-2026</t>
  </si>
  <si>
    <t>B099</t>
  </si>
  <si>
    <t>05-02-2026</t>
  </si>
  <si>
    <t>B093</t>
  </si>
  <si>
    <t>B109</t>
  </si>
  <si>
    <t>B170</t>
  </si>
  <si>
    <t>28-03-2026</t>
  </si>
  <si>
    <t>B025</t>
  </si>
  <si>
    <t>B198</t>
  </si>
  <si>
    <t>22-01-2026</t>
  </si>
  <si>
    <t>B120</t>
  </si>
  <si>
    <t>B176</t>
  </si>
  <si>
    <t>03-03-2026</t>
  </si>
  <si>
    <t>B009</t>
  </si>
  <si>
    <t>10-05-2026</t>
  </si>
  <si>
    <t>B163</t>
  </si>
  <si>
    <t>B105</t>
  </si>
  <si>
    <t>28-04-2026</t>
  </si>
  <si>
    <t>B141</t>
  </si>
  <si>
    <t>B033</t>
  </si>
  <si>
    <t>17-03-2026</t>
  </si>
  <si>
    <t>B060</t>
  </si>
  <si>
    <t>23-01-2026</t>
  </si>
  <si>
    <t>B114</t>
  </si>
  <si>
    <t>B180</t>
  </si>
  <si>
    <t>11-02-2026</t>
  </si>
  <si>
    <t>B007</t>
  </si>
  <si>
    <t>B003</t>
  </si>
  <si>
    <t>B193</t>
  </si>
  <si>
    <t>B069</t>
  </si>
  <si>
    <t>B142</t>
  </si>
  <si>
    <t>29-01-2026</t>
  </si>
  <si>
    <t>B121</t>
  </si>
  <si>
    <t>B186</t>
  </si>
  <si>
    <t>B103</t>
  </si>
  <si>
    <t>01-05-2026</t>
  </si>
  <si>
    <t>B011</t>
  </si>
  <si>
    <t>B072</t>
  </si>
  <si>
    <t>B190</t>
  </si>
  <si>
    <t>08-06-2026</t>
  </si>
  <si>
    <t>B183</t>
  </si>
  <si>
    <t>B047</t>
  </si>
  <si>
    <t>B157</t>
  </si>
  <si>
    <t>B115</t>
  </si>
  <si>
    <t>09-06-2026</t>
  </si>
  <si>
    <t>B040</t>
  </si>
  <si>
    <t>B145</t>
  </si>
  <si>
    <t>B111</t>
  </si>
  <si>
    <t>05-03-2026</t>
  </si>
  <si>
    <t>B171</t>
  </si>
  <si>
    <t>21-04-2026</t>
  </si>
  <si>
    <t>B184</t>
  </si>
  <si>
    <t>B189</t>
  </si>
  <si>
    <t>B097</t>
  </si>
  <si>
    <t>02-05-2026</t>
  </si>
  <si>
    <t>B051</t>
  </si>
  <si>
    <t>10-06-2026</t>
  </si>
  <si>
    <t>B129</t>
  </si>
  <si>
    <t>B006</t>
  </si>
  <si>
    <t>17-01-2026</t>
  </si>
  <si>
    <t>B165</t>
  </si>
  <si>
    <t>B031</t>
  </si>
  <si>
    <t>12-05-2026</t>
  </si>
  <si>
    <t>B048</t>
  </si>
  <si>
    <t>B027</t>
  </si>
  <si>
    <t>B149</t>
  </si>
  <si>
    <t>B197</t>
  </si>
  <si>
    <t>09-02-2026</t>
  </si>
  <si>
    <t>B124</t>
  </si>
  <si>
    <t>B138</t>
  </si>
  <si>
    <t>B062</t>
  </si>
  <si>
    <t>01-01-2026</t>
  </si>
  <si>
    <t>B039</t>
  </si>
  <si>
    <t>B052</t>
  </si>
  <si>
    <t>B177</t>
  </si>
  <si>
    <t>30-06-2026</t>
  </si>
  <si>
    <t>B034</t>
  </si>
  <si>
    <t>B068</t>
  </si>
  <si>
    <t>14-01-2026</t>
  </si>
  <si>
    <t>B066</t>
  </si>
  <si>
    <t>18-01-2026</t>
  </si>
  <si>
    <t>B022</t>
  </si>
  <si>
    <t>05-06-2026</t>
  </si>
  <si>
    <t>B116</t>
  </si>
  <si>
    <t>B035</t>
  </si>
  <si>
    <t>B045</t>
  </si>
  <si>
    <t>B063</t>
  </si>
  <si>
    <t>B155</t>
  </si>
  <si>
    <t>06-05-2026</t>
  </si>
  <si>
    <t>B196</t>
  </si>
  <si>
    <t>B086</t>
  </si>
  <si>
    <t>B107</t>
  </si>
  <si>
    <t>B188</t>
  </si>
  <si>
    <t>06-04-2026</t>
  </si>
  <si>
    <t>B166</t>
  </si>
  <si>
    <t>B147</t>
  </si>
  <si>
    <t>B014</t>
  </si>
  <si>
    <t>(blank)</t>
  </si>
  <si>
    <t xml:space="preserve">      HAW  Data Analysis Dashboard </t>
  </si>
  <si>
    <t>A</t>
  </si>
  <si>
    <t>B</t>
  </si>
  <si>
    <t>Total Revenue</t>
  </si>
  <si>
    <t>Top Destination</t>
  </si>
  <si>
    <t>Best revenue month</t>
  </si>
  <si>
    <t xml:space="preserve">Cancellation rate </t>
  </si>
  <si>
    <t>₹77,33,190</t>
  </si>
  <si>
    <t xml:space="preserve">Dubai </t>
  </si>
  <si>
    <t>February</t>
  </si>
  <si>
    <t>Total</t>
  </si>
  <si>
    <t xml:space="preserve">Cancellation Rate </t>
  </si>
  <si>
    <t>Revenue</t>
  </si>
  <si>
    <t>Revenue Contribution</t>
  </si>
  <si>
    <t>Average of Package_Cost</t>
  </si>
  <si>
    <t>Budget</t>
  </si>
  <si>
    <t>Premium</t>
  </si>
  <si>
    <t>Standard</t>
  </si>
  <si>
    <t>Bookings</t>
  </si>
  <si>
    <t>Ranking</t>
  </si>
  <si>
    <t>Performance Status</t>
  </si>
  <si>
    <t>Excellent</t>
  </si>
  <si>
    <t>High Revenue, High Risk</t>
  </si>
  <si>
    <t>Good</t>
  </si>
  <si>
    <t>Very Good</t>
  </si>
  <si>
    <t>Needs Improvement</t>
  </si>
  <si>
    <t>Average</t>
  </si>
  <si>
    <t xml:space="preserve">                                 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</si>
</sst>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color theme="1"/>
      <name val="Courier New"/>
      <charset val="1"/>
    </font>
    <font>
      <b/>
      <sz val="10"/>
      <color rgb="FF000000"/>
      <name val="Courier New"/>
    </font>
    <font>
      <sz val="11"/>
      <color rgb="FF000000"/>
      <name val="Calibri"/>
      <charset val="1"/>
    </font>
    <font>
      <b/>
      <i/>
      <u/>
      <sz val="36"/>
      <color rgb="FF000000"/>
      <name val="Calibri"/>
      <scheme val="minor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pivotButton="1"/>
    <xf numFmtId="0" fontId="1" fillId="0" borderId="3" xfId="0" applyFont="1" applyBorder="1"/>
    <xf numFmtId="0" fontId="0" fillId="0" borderId="6" xfId="0" applyBorder="1" applyAlignment="1">
      <alignment vertical="center"/>
    </xf>
    <xf numFmtId="10" fontId="0" fillId="0" borderId="6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0" fillId="0" borderId="0" xfId="0" applyNumberFormat="1"/>
    <xf numFmtId="0" fontId="6" fillId="0" borderId="0" xfId="0" applyFont="1"/>
    <xf numFmtId="10" fontId="0" fillId="0" borderId="0" xfId="0" applyNumberFormat="1"/>
    <xf numFmtId="0" fontId="7" fillId="3" borderId="0" xfId="0" applyFont="1" applyFill="1"/>
    <xf numFmtId="0" fontId="7" fillId="0" borderId="0" xfId="0" applyFont="1"/>
    <xf numFmtId="0" fontId="9" fillId="0" borderId="0" xfId="0" applyFont="1"/>
    <xf numFmtId="9" fontId="0" fillId="0" borderId="0" xfId="0" applyNumberFormat="1"/>
    <xf numFmtId="0" fontId="0" fillId="0" borderId="7" xfId="0" pivotButton="1" applyBorder="1"/>
    <xf numFmtId="0" fontId="0" fillId="0" borderId="7" xfId="0" applyBorder="1"/>
    <xf numFmtId="0" fontId="0" fillId="0" borderId="8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4" borderId="17" xfId="0" applyFill="1" applyBorder="1"/>
    <xf numFmtId="0" fontId="0" fillId="4" borderId="7" xfId="0" applyFill="1" applyBorder="1"/>
    <xf numFmtId="10" fontId="0" fillId="4" borderId="7" xfId="0" applyNumberFormat="1" applyFill="1" applyBorder="1"/>
    <xf numFmtId="0" fontId="0" fillId="4" borderId="18" xfId="0" applyFill="1" applyBorder="1"/>
    <xf numFmtId="0" fontId="0" fillId="5" borderId="19" xfId="0" applyFill="1" applyBorder="1"/>
    <xf numFmtId="0" fontId="0" fillId="5" borderId="20" xfId="0" applyFill="1" applyBorder="1"/>
    <xf numFmtId="10" fontId="0" fillId="5" borderId="20" xfId="0" applyNumberFormat="1" applyFill="1" applyBorder="1"/>
    <xf numFmtId="0" fontId="0" fillId="5" borderId="21" xfId="0" applyFill="1" applyBorder="1"/>
    <xf numFmtId="0" fontId="0" fillId="6" borderId="17" xfId="0" applyFill="1" applyBorder="1"/>
    <xf numFmtId="0" fontId="0" fillId="6" borderId="7" xfId="0" applyFill="1" applyBorder="1"/>
    <xf numFmtId="10" fontId="0" fillId="6" borderId="7" xfId="0" applyNumberFormat="1" applyFill="1" applyBorder="1"/>
    <xf numFmtId="0" fontId="0" fillId="6" borderId="18" xfId="0" applyFill="1" applyBorder="1"/>
    <xf numFmtId="0" fontId="0" fillId="7" borderId="17" xfId="0" applyFill="1" applyBorder="1"/>
    <xf numFmtId="0" fontId="0" fillId="7" borderId="7" xfId="0" applyFill="1" applyBorder="1"/>
    <xf numFmtId="10" fontId="0" fillId="7" borderId="7" xfId="0" applyNumberFormat="1" applyFill="1" applyBorder="1"/>
    <xf numFmtId="0" fontId="0" fillId="7" borderId="18" xfId="0" applyFill="1" applyBorder="1"/>
    <xf numFmtId="0" fontId="0" fillId="2" borderId="17" xfId="0" applyFill="1" applyBorder="1"/>
    <xf numFmtId="0" fontId="0" fillId="2" borderId="7" xfId="0" applyFill="1" applyBorder="1"/>
    <xf numFmtId="10" fontId="0" fillId="2" borderId="7" xfId="0" applyNumberFormat="1" applyFill="1" applyBorder="1"/>
    <xf numFmtId="0" fontId="0" fillId="2" borderId="18" xfId="0" applyFill="1" applyBorder="1"/>
    <xf numFmtId="0" fontId="0" fillId="8" borderId="17" xfId="0" applyFill="1" applyBorder="1"/>
    <xf numFmtId="0" fontId="0" fillId="8" borderId="7" xfId="0" applyFill="1" applyBorder="1"/>
    <xf numFmtId="10" fontId="0" fillId="8" borderId="7" xfId="0" applyNumberFormat="1" applyFill="1" applyBorder="1"/>
    <xf numFmtId="0" fontId="0" fillId="8" borderId="18" xfId="0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theme="9" tint="0.79998168889431442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tyles" Target="style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[Travel_Booking_Data day8.xlsx]destination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Destination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'destination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'destination analysis'!$A$4:$A$10</c:f>
              <c:strCache>
                <c:ptCount val="6"/>
                <c:pt idx="0">
                  <c:v>Bali</c:v>
                </c:pt>
                <c:pt idx="1">
                  <c:v>Dubai</c:v>
                </c:pt>
                <c:pt idx="2">
                  <c:v>Goa</c:v>
                </c:pt>
                <c:pt idx="3">
                  <c:v>Kashmir</c:v>
                </c:pt>
                <c:pt idx="4">
                  <c:v>Kerala</c:v>
                </c:pt>
                <c:pt idx="5">
                  <c:v>Manali</c:v>
                </c:pt>
              </c:strCache>
            </c:strRef>
          </c:cat>
          <c:val>
            <c:numRef>
              <c:f>'destination analysis'!$B$4:$B$10</c:f>
              <c:numCache>
                <c:formatCode>General</c:formatCode>
                <c:ptCount val="6"/>
                <c:pt idx="0">
                  <c:v>32</c:v>
                </c:pt>
                <c:pt idx="1">
                  <c:v>41</c:v>
                </c:pt>
                <c:pt idx="2">
                  <c:v>33</c:v>
                </c:pt>
                <c:pt idx="3">
                  <c:v>35</c:v>
                </c:pt>
                <c:pt idx="4">
                  <c:v>23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7-4672-B6D1-5A299F499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658568"/>
        <c:axId val="820547592"/>
      </c:barChart>
      <c:catAx>
        <c:axId val="115065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47592"/>
        <c:crosses val="autoZero"/>
        <c:auto val="1"/>
        <c:lblAlgn val="ctr"/>
        <c:lblOffset val="100"/>
        <c:noMultiLvlLbl val="0"/>
      </c:catAx>
      <c:valAx>
        <c:axId val="82054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5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[Travel_Booking_Data day8.xlsx]monthly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booking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'monthly analysis'!$A$4:$A$11</c:f>
              <c:strCache>
                <c:ptCount val="7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(blank)</c:v>
                </c:pt>
              </c:strCache>
            </c:strRef>
          </c:cat>
          <c:val>
            <c:numRef>
              <c:f>'monthly analysis'!$B$4:$B$11</c:f>
              <c:numCache>
                <c:formatCode>General</c:formatCode>
                <c:ptCount val="7"/>
                <c:pt idx="0">
                  <c:v>38</c:v>
                </c:pt>
                <c:pt idx="1">
                  <c:v>34</c:v>
                </c:pt>
                <c:pt idx="2">
                  <c:v>29</c:v>
                </c:pt>
                <c:pt idx="3">
                  <c:v>36</c:v>
                </c:pt>
                <c:pt idx="4">
                  <c:v>32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5-4780-8CEF-CD7A5DEF6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2712"/>
        <c:axId val="118794760"/>
      </c:barChart>
      <c:catAx>
        <c:axId val="11879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4760"/>
        <c:crosses val="autoZero"/>
        <c:auto val="1"/>
        <c:lblAlgn val="ctr"/>
        <c:lblOffset val="100"/>
        <c:noMultiLvlLbl val="0"/>
      </c:catAx>
      <c:valAx>
        <c:axId val="11879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[Travel_Booking_Data day8.xlsx]revenue by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'revenue by gender'!$A$4:$A$7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(blank)</c:v>
                </c:pt>
              </c:strCache>
            </c:strRef>
          </c:cat>
          <c:val>
            <c:numRef>
              <c:f>'revenue by gender'!$B$4:$B$7</c:f>
              <c:numCache>
                <c:formatCode>General</c:formatCode>
                <c:ptCount val="3"/>
                <c:pt idx="0">
                  <c:v>3658744</c:v>
                </c:pt>
                <c:pt idx="1">
                  <c:v>4074446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5-412A-AAA2-95B511A76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92264"/>
        <c:axId val="1296994312"/>
      </c:barChart>
      <c:catAx>
        <c:axId val="129699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94312"/>
        <c:crosses val="autoZero"/>
        <c:auto val="1"/>
        <c:lblAlgn val="ctr"/>
        <c:lblOffset val="100"/>
        <c:noMultiLvlLbl val="0"/>
      </c:catAx>
      <c:valAx>
        <c:axId val="129699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9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[Travel_Booking_Data day8.xlsx]revenue by age_group!PivotTable2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age_group'!$B$3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age_group'!$A$4:$A$11</c:f>
              <c:strCache>
                <c:ptCount val="7"/>
                <c:pt idx="0">
                  <c:v>21-25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(blank)</c:v>
                </c:pt>
              </c:strCache>
            </c:strRef>
          </c:cat>
          <c:val>
            <c:numRef>
              <c:f>'revenue by age_group'!$B$4:$B$11</c:f>
              <c:numCache>
                <c:formatCode>General</c:formatCode>
                <c:ptCount val="7"/>
                <c:pt idx="0">
                  <c:v>1699426</c:v>
                </c:pt>
                <c:pt idx="1">
                  <c:v>953635</c:v>
                </c:pt>
                <c:pt idx="2">
                  <c:v>1405968</c:v>
                </c:pt>
                <c:pt idx="3">
                  <c:v>1718534</c:v>
                </c:pt>
                <c:pt idx="4">
                  <c:v>1119488</c:v>
                </c:pt>
                <c:pt idx="5">
                  <c:v>836139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F-4329-A06F-872C3B3F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451144"/>
        <c:axId val="999453192"/>
      </c:barChart>
      <c:catAx>
        <c:axId val="99945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3192"/>
        <c:crosses val="autoZero"/>
        <c:auto val="1"/>
        <c:lblAlgn val="ctr"/>
        <c:lblOffset val="100"/>
        <c:noMultiLvlLbl val="0"/>
      </c:catAx>
      <c:valAx>
        <c:axId val="99945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[Travel_Booking_Data day8.xlsx]revenue by month!PivotTable3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month'!$A$4:$A$11</c:f>
              <c:strCache>
                <c:ptCount val="7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(blank)</c:v>
                </c:pt>
              </c:strCache>
            </c:strRef>
          </c:cat>
          <c:val>
            <c:numRef>
              <c:f>'revenue by month'!$B$4:$B$11</c:f>
              <c:numCache>
                <c:formatCode>General</c:formatCode>
                <c:ptCount val="7"/>
                <c:pt idx="0">
                  <c:v>1477289</c:v>
                </c:pt>
                <c:pt idx="1">
                  <c:v>1529782</c:v>
                </c:pt>
                <c:pt idx="2">
                  <c:v>1035194</c:v>
                </c:pt>
                <c:pt idx="3">
                  <c:v>1426755</c:v>
                </c:pt>
                <c:pt idx="4">
                  <c:v>1091475</c:v>
                </c:pt>
                <c:pt idx="5">
                  <c:v>1172695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8-4195-A047-F218CCD0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501320"/>
        <c:axId val="999503368"/>
      </c:barChart>
      <c:catAx>
        <c:axId val="9995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3368"/>
        <c:crosses val="autoZero"/>
        <c:auto val="1"/>
        <c:lblAlgn val="ctr"/>
        <c:lblOffset val="100"/>
        <c:noMultiLvlLbl val="0"/>
      </c:catAx>
      <c:valAx>
        <c:axId val="99950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[Travel_Booking_Data day8.xlsx]revenue by gender!PivotTable1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33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'revenue by gender'!$A$4:$A$7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(blank)</c:v>
                </c:pt>
              </c:strCache>
            </c:strRef>
          </c:cat>
          <c:val>
            <c:numRef>
              <c:f>'revenue by gender'!$B$4:$B$7</c:f>
              <c:numCache>
                <c:formatCode>General</c:formatCode>
                <c:ptCount val="3"/>
                <c:pt idx="0">
                  <c:v>3658744</c:v>
                </c:pt>
                <c:pt idx="1">
                  <c:v>4074446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0-4195-A4F4-EFD648A5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92264"/>
        <c:axId val="1296994312"/>
      </c:barChart>
      <c:catAx>
        <c:axId val="129699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94312"/>
        <c:crosses val="autoZero"/>
        <c:auto val="1"/>
        <c:lblAlgn val="ctr"/>
        <c:lblOffset val="100"/>
        <c:noMultiLvlLbl val="0"/>
      </c:catAx>
      <c:valAx>
        <c:axId val="129699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9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[Travel_Booking_Data day8.xlsx]revenue by age_group!PivotTable2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age_group'!$B$3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'revenue by age_group'!$A$4:$A$11</c:f>
              <c:strCache>
                <c:ptCount val="7"/>
                <c:pt idx="0">
                  <c:v>21-25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(blank)</c:v>
                </c:pt>
              </c:strCache>
            </c:strRef>
          </c:cat>
          <c:val>
            <c:numRef>
              <c:f>'revenue by age_group'!$B$4:$B$11</c:f>
              <c:numCache>
                <c:formatCode>General</c:formatCode>
                <c:ptCount val="7"/>
                <c:pt idx="0">
                  <c:v>1699426</c:v>
                </c:pt>
                <c:pt idx="1">
                  <c:v>953635</c:v>
                </c:pt>
                <c:pt idx="2">
                  <c:v>1405968</c:v>
                </c:pt>
                <c:pt idx="3">
                  <c:v>1718534</c:v>
                </c:pt>
                <c:pt idx="4">
                  <c:v>1119488</c:v>
                </c:pt>
                <c:pt idx="5">
                  <c:v>836139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F-4A69-AFCA-28EC13AC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451144"/>
        <c:axId val="999453192"/>
      </c:barChart>
      <c:catAx>
        <c:axId val="99945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3192"/>
        <c:crosses val="autoZero"/>
        <c:auto val="1"/>
        <c:lblAlgn val="ctr"/>
        <c:lblOffset val="100"/>
        <c:noMultiLvlLbl val="0"/>
      </c:catAx>
      <c:valAx>
        <c:axId val="99945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[Travel_Booking_Data day8.xlsx]revenue by month!PivotTable3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month'!$A$4:$A$11</c:f>
              <c:strCache>
                <c:ptCount val="7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(blank)</c:v>
                </c:pt>
              </c:strCache>
            </c:strRef>
          </c:cat>
          <c:val>
            <c:numRef>
              <c:f>'revenue by month'!$B$4:$B$11</c:f>
              <c:numCache>
                <c:formatCode>General</c:formatCode>
                <c:ptCount val="7"/>
                <c:pt idx="0">
                  <c:v>1477289</c:v>
                </c:pt>
                <c:pt idx="1">
                  <c:v>1529782</c:v>
                </c:pt>
                <c:pt idx="2">
                  <c:v>1035194</c:v>
                </c:pt>
                <c:pt idx="3">
                  <c:v>1426755</c:v>
                </c:pt>
                <c:pt idx="4">
                  <c:v>1091475</c:v>
                </c:pt>
                <c:pt idx="5">
                  <c:v>1172695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7-4147-BF9B-488A8105A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501320"/>
        <c:axId val="999503368"/>
      </c:barChart>
      <c:catAx>
        <c:axId val="9995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3368"/>
        <c:crosses val="autoZero"/>
        <c:auto val="1"/>
        <c:lblAlgn val="ctr"/>
        <c:lblOffset val="100"/>
        <c:noMultiLvlLbl val="0"/>
      </c:catAx>
      <c:valAx>
        <c:axId val="99950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Destination-wise Cancellation Rate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rate'!$G$3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'cancellation rate'!$F$4:$F$9</c:f>
              <c:strCache>
                <c:ptCount val="6"/>
                <c:pt idx="0">
                  <c:v>Bali</c:v>
                </c:pt>
                <c:pt idx="1">
                  <c:v>Dubai</c:v>
                </c:pt>
                <c:pt idx="2">
                  <c:v>Goa</c:v>
                </c:pt>
                <c:pt idx="3">
                  <c:v>Kashmir</c:v>
                </c:pt>
                <c:pt idx="4">
                  <c:v>Kerala</c:v>
                </c:pt>
                <c:pt idx="5">
                  <c:v>Manali</c:v>
                </c:pt>
              </c:strCache>
            </c:strRef>
          </c:cat>
          <c:val>
            <c:numRef>
              <c:f>'cancellation rate'!$G$4:$G$9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1-4C41-8C5F-475F7704501B}"/>
            </c:ext>
          </c:extLst>
        </c:ser>
        <c:ser>
          <c:idx val="1"/>
          <c:order val="1"/>
          <c:tx>
            <c:strRef>
              <c:f>'cancellation rate'!$H$3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'cancellation rate'!$F$4:$F$9</c:f>
              <c:strCache>
                <c:ptCount val="6"/>
                <c:pt idx="0">
                  <c:v>Bali</c:v>
                </c:pt>
                <c:pt idx="1">
                  <c:v>Dubai</c:v>
                </c:pt>
                <c:pt idx="2">
                  <c:v>Goa</c:v>
                </c:pt>
                <c:pt idx="3">
                  <c:v>Kashmir</c:v>
                </c:pt>
                <c:pt idx="4">
                  <c:v>Kerala</c:v>
                </c:pt>
                <c:pt idx="5">
                  <c:v>Manali</c:v>
                </c:pt>
              </c:strCache>
            </c:strRef>
          </c:cat>
          <c:val>
            <c:numRef>
              <c:f>'cancellation rate'!$H$4:$H$9</c:f>
              <c:numCache>
                <c:formatCode>General</c:formatCode>
                <c:ptCount val="6"/>
                <c:pt idx="0">
                  <c:v>32</c:v>
                </c:pt>
                <c:pt idx="1">
                  <c:v>41</c:v>
                </c:pt>
                <c:pt idx="2">
                  <c:v>33</c:v>
                </c:pt>
                <c:pt idx="3">
                  <c:v>35</c:v>
                </c:pt>
                <c:pt idx="4">
                  <c:v>23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1-4C41-8C5F-475F7704501B}"/>
            </c:ext>
          </c:extLst>
        </c:ser>
        <c:ser>
          <c:idx val="2"/>
          <c:order val="2"/>
          <c:tx>
            <c:strRef>
              <c:f>'cancellation rate'!$I$3</c:f>
              <c:strCache>
                <c:ptCount val="1"/>
                <c:pt idx="0">
                  <c:v>Cancellation Rate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'cancellation rate'!$F$4:$F$9</c:f>
              <c:strCache>
                <c:ptCount val="6"/>
                <c:pt idx="0">
                  <c:v>Bali</c:v>
                </c:pt>
                <c:pt idx="1">
                  <c:v>Dubai</c:v>
                </c:pt>
                <c:pt idx="2">
                  <c:v>Goa</c:v>
                </c:pt>
                <c:pt idx="3">
                  <c:v>Kashmir</c:v>
                </c:pt>
                <c:pt idx="4">
                  <c:v>Kerala</c:v>
                </c:pt>
                <c:pt idx="5">
                  <c:v>Manali</c:v>
                </c:pt>
              </c:strCache>
            </c:strRef>
          </c:cat>
          <c:val>
            <c:numRef>
              <c:f>'cancellation rate'!$I$4:$I$9</c:f>
              <c:numCache>
                <c:formatCode>0.00%</c:formatCode>
                <c:ptCount val="6"/>
                <c:pt idx="0">
                  <c:v>0.15625</c:v>
                </c:pt>
                <c:pt idx="1">
                  <c:v>0.36585365853658536</c:v>
                </c:pt>
                <c:pt idx="2">
                  <c:v>0.12121212121212122</c:v>
                </c:pt>
                <c:pt idx="3">
                  <c:v>0.14285714285714285</c:v>
                </c:pt>
                <c:pt idx="4">
                  <c:v>0.34782608695652173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61-4C41-8C5F-475F77045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22599"/>
        <c:axId val="677424647"/>
      </c:barChart>
      <c:catAx>
        <c:axId val="67742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4647"/>
        <c:crosses val="autoZero"/>
        <c:auto val="1"/>
        <c:lblAlgn val="ctr"/>
        <c:lblOffset val="100"/>
        <c:noMultiLvlLbl val="0"/>
      </c:catAx>
      <c:valAx>
        <c:axId val="67742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[Travel_Booking_Data day8.xlsx]revenue by dest!PivotTable1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Destination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dest'!$B$3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dest'!$A$4:$A$10</c:f>
              <c:strCache>
                <c:ptCount val="6"/>
                <c:pt idx="0">
                  <c:v>Dubai</c:v>
                </c:pt>
                <c:pt idx="1">
                  <c:v>Bali</c:v>
                </c:pt>
                <c:pt idx="2">
                  <c:v>Kashmir</c:v>
                </c:pt>
                <c:pt idx="3">
                  <c:v>Manali</c:v>
                </c:pt>
                <c:pt idx="4">
                  <c:v>Goa</c:v>
                </c:pt>
                <c:pt idx="5">
                  <c:v>Kerala</c:v>
                </c:pt>
              </c:strCache>
            </c:strRef>
          </c:cat>
          <c:val>
            <c:numRef>
              <c:f>'revenue by dest'!$B$4:$B$10</c:f>
              <c:numCache>
                <c:formatCode>General</c:formatCode>
                <c:ptCount val="6"/>
                <c:pt idx="0">
                  <c:v>2493352</c:v>
                </c:pt>
                <c:pt idx="1">
                  <c:v>2251676</c:v>
                </c:pt>
                <c:pt idx="2">
                  <c:v>1134593</c:v>
                </c:pt>
                <c:pt idx="3">
                  <c:v>736589</c:v>
                </c:pt>
                <c:pt idx="4">
                  <c:v>600006</c:v>
                </c:pt>
                <c:pt idx="5">
                  <c:v>516974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B-44DC-B1D0-F5E3CBF6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004232"/>
        <c:axId val="286059528"/>
      </c:barChart>
      <c:catAx>
        <c:axId val="28600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59528"/>
        <c:crosses val="autoZero"/>
        <c:auto val="1"/>
        <c:lblAlgn val="ctr"/>
        <c:lblOffset val="100"/>
        <c:noMultiLvlLbl val="0"/>
      </c:catAx>
      <c:valAx>
        <c:axId val="28605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0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Contribution by Destination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dest'!$P$2</c:f>
              <c:strCache>
                <c:ptCount val="1"/>
                <c:pt idx="0">
                  <c:v>Revenue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85-4134-A0A9-2587C9ED1B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85-4134-A0A9-2587C9ED1B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85-4134-A0A9-2587C9ED1B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85-4134-A0A9-2587C9ED1B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85-4134-A0A9-2587C9ED1B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85-4134-A0A9-2587C9ED1B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dest'!$N$3:$N$8</c:f>
              <c:strCache>
                <c:ptCount val="6"/>
                <c:pt idx="0">
                  <c:v>Dubai</c:v>
                </c:pt>
                <c:pt idx="1">
                  <c:v>Bali</c:v>
                </c:pt>
                <c:pt idx="2">
                  <c:v>Kashmir</c:v>
                </c:pt>
                <c:pt idx="3">
                  <c:v>Manali</c:v>
                </c:pt>
                <c:pt idx="4">
                  <c:v>Goa</c:v>
                </c:pt>
                <c:pt idx="5">
                  <c:v>Kerala</c:v>
                </c:pt>
              </c:strCache>
            </c:strRef>
          </c:cat>
          <c:val>
            <c:numRef>
              <c:f>'revenue by dest'!$P$3:$P$8</c:f>
              <c:numCache>
                <c:formatCode>0%</c:formatCode>
                <c:ptCount val="6"/>
                <c:pt idx="0">
                  <c:v>0.32242218282494028</c:v>
                </c:pt>
                <c:pt idx="1">
                  <c:v>0.29117039669269734</c:v>
                </c:pt>
                <c:pt idx="2">
                  <c:v>0.14671733139881471</c:v>
                </c:pt>
                <c:pt idx="3">
                  <c:v>9.5250343002047017E-2</c:v>
                </c:pt>
                <c:pt idx="4">
                  <c:v>7.758842081986865E-2</c:v>
                </c:pt>
                <c:pt idx="5">
                  <c:v>6.6851325261632011E-2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9-4E1A-808B-95D648BCA50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9525</xdr:rowOff>
    </xdr:from>
    <xdr:to>
      <xdr:col>10</xdr:col>
      <xdr:colOff>552450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11731-CC59-C24F-9BBF-52E2EF152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19050</xdr:rowOff>
    </xdr:from>
    <xdr:to>
      <xdr:col>11</xdr:col>
      <xdr:colOff>504825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E2B3C-210E-745C-B6E4-2DFD7DD6C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</xdr:row>
      <xdr:rowOff>9525</xdr:rowOff>
    </xdr:from>
    <xdr:to>
      <xdr:col>11</xdr:col>
      <xdr:colOff>57150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B6A9D-B226-3EBD-4039-93DD78437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142875</xdr:rowOff>
    </xdr:from>
    <xdr:to>
      <xdr:col>11</xdr:col>
      <xdr:colOff>57150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8525A-397E-B4D1-77FE-10F92983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152400</xdr:rowOff>
    </xdr:from>
    <xdr:to>
      <xdr:col>10</xdr:col>
      <xdr:colOff>381000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80A0F-15ED-98C7-C715-D950E031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12</xdr:row>
      <xdr:rowOff>95250</xdr:rowOff>
    </xdr:from>
    <xdr:to>
      <xdr:col>8</xdr:col>
      <xdr:colOff>523875</xdr:colOff>
      <xdr:row>22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D082A-60D0-435E-DEBF-67158146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2428875"/>
          <a:ext cx="3276600" cy="1933575"/>
        </a:xfrm>
        <a:prstGeom prst="rect">
          <a:avLst/>
        </a:prstGeom>
      </xdr:spPr>
    </xdr:pic>
    <xdr:clientData/>
  </xdr:twoCellAnchor>
  <xdr:twoCellAnchor editAs="oneCell">
    <xdr:from>
      <xdr:col>8</xdr:col>
      <xdr:colOff>1009650</xdr:colOff>
      <xdr:row>12</xdr:row>
      <xdr:rowOff>28575</xdr:rowOff>
    </xdr:from>
    <xdr:to>
      <xdr:col>11</xdr:col>
      <xdr:colOff>876300</xdr:colOff>
      <xdr:row>22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B15DB-9EAB-6C76-FF18-47E2FD3E4228}"/>
            </a:ext>
            <a:ext uri="{147F2762-F138-4A5C-976F-8EAC2B608ADB}">
              <a16:predDERef xmlns:a16="http://schemas.microsoft.com/office/drawing/2014/main" pred="{3C8D082A-60D0-435E-DEBF-67158146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2362200"/>
          <a:ext cx="3228975" cy="19812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9</xdr:col>
      <xdr:colOff>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7C925-C3BF-4B20-9626-00F5393412DA}"/>
            </a:ext>
            <a:ext uri="{147F2762-F138-4A5C-976F-8EAC2B608ADB}">
              <a16:predDERef xmlns:a16="http://schemas.microsoft.com/office/drawing/2014/main" pred="{CCDB15DB-9EAB-6C76-FF18-47E2FD3E4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723900</xdr:colOff>
      <xdr:row>24</xdr:row>
      <xdr:rowOff>95250</xdr:rowOff>
    </xdr:from>
    <xdr:to>
      <xdr:col>14</xdr:col>
      <xdr:colOff>476250</xdr:colOff>
      <xdr:row>36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27D6D1-FFE7-4E32-9474-6B30C2A96967}"/>
            </a:ext>
            <a:ext uri="{147F2762-F138-4A5C-976F-8EAC2B608ADB}">
              <a16:predDERef xmlns:a16="http://schemas.microsoft.com/office/drawing/2014/main" pred="{E7B7C925-C3BF-4B20-9626-00F539341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152400</xdr:colOff>
      <xdr:row>37</xdr:row>
      <xdr:rowOff>28575</xdr:rowOff>
    </xdr:from>
    <xdr:to>
      <xdr:col>12</xdr:col>
      <xdr:colOff>333375</xdr:colOff>
      <xdr:row>48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A5D0A-E21B-46E8-8338-6C302D82A918}"/>
            </a:ext>
            <a:ext uri="{147F2762-F138-4A5C-976F-8EAC2B608ADB}">
              <a16:predDERef xmlns:a16="http://schemas.microsoft.com/office/drawing/2014/main" pred="{7F27D6D1-FFE7-4E32-9474-6B30C2A96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10</xdr:row>
      <xdr:rowOff>171450</xdr:rowOff>
    </xdr:from>
    <xdr:to>
      <xdr:col>14</xdr:col>
      <xdr:colOff>161925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4F64A-DE89-5931-6A1A-73C785F93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</xdr:row>
      <xdr:rowOff>142875</xdr:rowOff>
    </xdr:from>
    <xdr:to>
      <xdr:col>12</xdr:col>
      <xdr:colOff>95250</xdr:colOff>
      <xdr:row>17</xdr:row>
      <xdr:rowOff>28575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04E6154-88E6-65ED-EC8F-2158C31B2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266700</xdr:colOff>
      <xdr:row>9</xdr:row>
      <xdr:rowOff>9525</xdr:rowOff>
    </xdr:from>
    <xdr:to>
      <xdr:col>18</xdr:col>
      <xdr:colOff>152400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3D7A94-7A8F-5A07-2D5F-591AA52710A3}"/>
            </a:ext>
            <a:ext uri="{147F2762-F138-4A5C-976F-8EAC2B608ADB}">
              <a16:predDERef xmlns:a16="http://schemas.microsoft.com/office/drawing/2014/main" pred="{D04E6154-88E6-65ED-EC8F-2158C31B2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789769791663" createdVersion="8" refreshedVersion="8" minRefreshableVersion="3" recordCount="200" xr:uid="{77F30522-E011-482D-B3DD-5E5EABF51973}">
  <cacheSource type="worksheet">
    <worksheetSource ref="A1:H201" sheet="Travel_Bookings"/>
  </cacheSource>
  <cacheFields count="8">
    <cacheField name="Booking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21" maxValue="50" count="30">
        <n v="31"/>
        <n v="30"/>
        <n v="47"/>
        <n v="28"/>
        <n v="37"/>
        <n v="45"/>
        <n v="26"/>
        <n v="35"/>
        <n v="50"/>
        <n v="23"/>
        <n v="40"/>
        <n v="36"/>
        <n v="38"/>
        <n v="22"/>
        <n v="49"/>
        <n v="33"/>
        <n v="43"/>
        <n v="29"/>
        <n v="44"/>
        <n v="24"/>
        <n v="34"/>
        <n v="27"/>
        <n v="25"/>
        <n v="21"/>
        <n v="48"/>
        <n v="39"/>
        <n v="42"/>
        <n v="32"/>
        <n v="41"/>
        <n v="46"/>
      </sharedItems>
    </cacheField>
    <cacheField name="Gender" numFmtId="0">
      <sharedItems/>
    </cacheField>
    <cacheField name="Destination" numFmtId="0">
      <sharedItems count="6">
        <s v="Kashmir"/>
        <s v="Kerala"/>
        <s v="Goa"/>
        <s v="Dubai"/>
        <s v="Bali"/>
        <s v="Manali"/>
      </sharedItems>
    </cacheField>
    <cacheField name="Package_Cost" numFmtId="0">
      <sharedItems containsSemiMixedTypes="0" containsString="0" containsNumber="1" containsInteger="1" minValue="14087" maxValue="83794"/>
    </cacheField>
    <cacheField name="Booking_Date" numFmtId="0">
      <sharedItems/>
    </cacheField>
    <cacheField name="Status" numFmtId="0">
      <sharedItems count="2">
        <s v="Confirm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760761574071" createdVersion="8" refreshedVersion="8" minRefreshableVersion="3" recordCount="200" xr:uid="{726C33DA-5A31-43A1-BFCF-716127CEDE45}">
  <cacheSource type="worksheet">
    <worksheetSource ref="A1:I201" sheet="Travel_Bookings"/>
  </cacheSource>
  <cacheFields count="9">
    <cacheField name="Booking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21" maxValue="50"/>
    </cacheField>
    <cacheField name="Gender" numFmtId="0">
      <sharedItems count="2">
        <s v="M"/>
        <s v="F"/>
      </sharedItems>
    </cacheField>
    <cacheField name="Destination" numFmtId="0">
      <sharedItems/>
    </cacheField>
    <cacheField name="Package_Cost" numFmtId="0">
      <sharedItems containsSemiMixedTypes="0" containsString="0" containsNumber="1" containsInteger="1" minValue="14087" maxValue="83794"/>
    </cacheField>
    <cacheField name="Booking_Date" numFmtId="0">
      <sharedItems/>
    </cacheField>
    <cacheField name="Status" numFmtId="0">
      <sharedItems/>
    </cacheField>
    <cacheField name="Age_group" numFmtId="0">
      <sharedItems count="6">
        <s v="31-35"/>
        <s v="26-30"/>
        <s v="46-50"/>
        <s v="36-40"/>
        <s v="41-45"/>
        <s v="21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767834259263" createdVersion="8" refreshedVersion="8" minRefreshableVersion="3" recordCount="201" xr:uid="{B2ABF8E9-81BC-4C77-BA61-12A870F63BB1}">
  <cacheSource type="worksheet">
    <worksheetSource ref="A1:J1048576" sheet="Travel_Bookings"/>
  </cacheSource>
  <cacheFields count="10">
    <cacheField name="Booking_ID" numFmtId="0">
      <sharedItems containsBlank="1"/>
    </cacheField>
    <cacheField name="Customer_Name" numFmtId="0">
      <sharedItems containsBlank="1"/>
    </cacheField>
    <cacheField name="Age" numFmtId="0">
      <sharedItems containsString="0" containsBlank="1" containsNumber="1" containsInteger="1" minValue="21" maxValue="50"/>
    </cacheField>
    <cacheField name="Gender" numFmtId="0">
      <sharedItems containsBlank="1" count="3">
        <s v="M"/>
        <s v="F"/>
        <m/>
      </sharedItems>
    </cacheField>
    <cacheField name="Destination" numFmtId="0">
      <sharedItems containsBlank="1" count="7">
        <s v="Kashmir"/>
        <s v="Kerala"/>
        <s v="Goa"/>
        <s v="Dubai"/>
        <s v="Bali"/>
        <s v="Manali"/>
        <m/>
      </sharedItems>
    </cacheField>
    <cacheField name="Package_Cost" numFmtId="0">
      <sharedItems containsString="0" containsBlank="1" containsNumber="1" containsInteger="1" minValue="14087" maxValue="83794"/>
    </cacheField>
    <cacheField name="Booking_Date" numFmtId="0">
      <sharedItems containsBlank="1"/>
    </cacheField>
    <cacheField name="Status" numFmtId="0">
      <sharedItems containsBlank="1"/>
    </cacheField>
    <cacheField name="Age_group" numFmtId="0">
      <sharedItems containsBlank="1" count="7">
        <s v="31-35"/>
        <s v="26-30"/>
        <s v="46-50"/>
        <s v="36-40"/>
        <s v="41-45"/>
        <s v="21-25"/>
        <m/>
      </sharedItems>
    </cacheField>
    <cacheField name="Month" numFmtId="0">
      <sharedItems containsBlank="1" count="7">
        <s v="03"/>
        <s v="05"/>
        <s v="01"/>
        <s v="06"/>
        <s v="04"/>
        <s v="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787205439818" createdVersion="8" refreshedVersion="8" minRefreshableVersion="3" recordCount="200" xr:uid="{2352DF3B-5195-4FAF-BD1A-16838745119E}">
  <cacheSource type="worksheet">
    <worksheetSource ref="A1:J201" sheet="Travel_Bookings"/>
  </cacheSource>
  <cacheFields count="10">
    <cacheField name="Booking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21" maxValue="50"/>
    </cacheField>
    <cacheField name="Gender" numFmtId="0">
      <sharedItems/>
    </cacheField>
    <cacheField name="Destination" numFmtId="0">
      <sharedItems count="6">
        <s v="Kashmir"/>
        <s v="Kerala"/>
        <s v="Goa"/>
        <s v="Dubai"/>
        <s v="Bali"/>
        <s v="Manali"/>
      </sharedItems>
    </cacheField>
    <cacheField name="Package_Cost" numFmtId="0">
      <sharedItems containsSemiMixedTypes="0" containsString="0" containsNumber="1" containsInteger="1" minValue="14087" maxValue="83794"/>
    </cacheField>
    <cacheField name="Booking_Date" numFmtId="0">
      <sharedItems/>
    </cacheField>
    <cacheField name="Status" numFmtId="0">
      <sharedItems count="2">
        <s v="Confirmed"/>
        <s v="Cancelled"/>
      </sharedItems>
    </cacheField>
    <cacheField name="Age_group" numFmtId="0">
      <sharedItems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699037962964" createdVersion="8" refreshedVersion="8" minRefreshableVersion="3" recordCount="200" xr:uid="{3FC29735-635F-4584-ABA6-A046B1FDB12A}">
  <cacheSource type="worksheet">
    <worksheetSource ref="A1:K201" sheet="Travel_Bookings"/>
  </cacheSource>
  <cacheFields count="11">
    <cacheField name="Booking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21" maxValue="50"/>
    </cacheField>
    <cacheField name="Gender" numFmtId="0">
      <sharedItems/>
    </cacheField>
    <cacheField name="Destination" numFmtId="0">
      <sharedItems/>
    </cacheField>
    <cacheField name="Package_Cost" numFmtId="0">
      <sharedItems containsSemiMixedTypes="0" containsString="0" containsNumber="1" containsInteger="1" minValue="14087" maxValue="83794"/>
    </cacheField>
    <cacheField name="Booking_Date" numFmtId="0">
      <sharedItems/>
    </cacheField>
    <cacheField name="Status" numFmtId="0">
      <sharedItems/>
    </cacheField>
    <cacheField name="Age_group" numFmtId="0">
      <sharedItems/>
    </cacheField>
    <cacheField name="Month" numFmtId="0">
      <sharedItems/>
    </cacheField>
    <cacheField name="Customer_Segment" numFmtId="0">
      <sharedItems count="3">
        <s v="Standard"/>
        <s v="Budget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Karan Mehta"/>
    <x v="0"/>
    <s v="M"/>
    <x v="0"/>
    <n v="35911"/>
    <s v="20-03-2026"/>
    <x v="0"/>
  </r>
  <r>
    <s v="B002"/>
    <s v="Pooja Nair"/>
    <x v="1"/>
    <s v="M"/>
    <x v="1"/>
    <n v="25383"/>
    <s v="27-06-2026"/>
    <x v="1"/>
  </r>
  <r>
    <s v="B003"/>
    <s v="Neha Gupta"/>
    <x v="2"/>
    <s v="M"/>
    <x v="2"/>
    <n v="20176"/>
    <s v="12-03-2026"/>
    <x v="0"/>
  </r>
  <r>
    <s v="B004"/>
    <s v="Rohan Das"/>
    <x v="3"/>
    <s v="M"/>
    <x v="3"/>
    <n v="53100"/>
    <s v="10-01-2026"/>
    <x v="0"/>
  </r>
  <r>
    <s v="B005"/>
    <s v="Aisha Khan"/>
    <x v="4"/>
    <s v="M"/>
    <x v="4"/>
    <n v="66096"/>
    <s v="16-03-2026"/>
    <x v="0"/>
  </r>
  <r>
    <s v="B006"/>
    <s v="Ananya Das"/>
    <x v="4"/>
    <s v="F"/>
    <x v="2"/>
    <n v="18862"/>
    <s v="17-01-2026"/>
    <x v="0"/>
  </r>
  <r>
    <s v="B007"/>
    <s v="Nikhil Joshi"/>
    <x v="5"/>
    <s v="M"/>
    <x v="5"/>
    <n v="20203"/>
    <s v="12-06-2026"/>
    <x v="0"/>
  </r>
  <r>
    <s v="B008"/>
    <s v="Nikhil Joshi"/>
    <x v="4"/>
    <s v="F"/>
    <x v="4"/>
    <n v="63466"/>
    <s v="20-04-2026"/>
    <x v="0"/>
  </r>
  <r>
    <s v="B009"/>
    <s v="Sarthak Roy"/>
    <x v="6"/>
    <s v="M"/>
    <x v="1"/>
    <n v="21132"/>
    <s v="10-05-2026"/>
    <x v="0"/>
  </r>
  <r>
    <s v="B010"/>
    <s v="Harsh Vardhan"/>
    <x v="7"/>
    <s v="M"/>
    <x v="4"/>
    <n v="83720"/>
    <s v="09-05-2026"/>
    <x v="0"/>
  </r>
  <r>
    <s v="B011"/>
    <s v="Vikram Rao"/>
    <x v="0"/>
    <s v="F"/>
    <x v="5"/>
    <n v="19702"/>
    <s v="20-06-2026"/>
    <x v="0"/>
  </r>
  <r>
    <s v="B012"/>
    <s v="Karan Mehta"/>
    <x v="2"/>
    <s v="M"/>
    <x v="3"/>
    <n v="74661"/>
    <s v="12-04-2026"/>
    <x v="1"/>
  </r>
  <r>
    <s v="B013"/>
    <s v="Vikram Rao"/>
    <x v="8"/>
    <s v="M"/>
    <x v="0"/>
    <n v="30752"/>
    <s v="18-02-2026"/>
    <x v="1"/>
  </r>
  <r>
    <s v="B014"/>
    <s v="Sarthak Roy"/>
    <x v="7"/>
    <s v="M"/>
    <x v="2"/>
    <n v="14087"/>
    <s v="21-03-2026"/>
    <x v="1"/>
  </r>
  <r>
    <s v="B015"/>
    <s v="Pooja Nair"/>
    <x v="1"/>
    <s v="F"/>
    <x v="1"/>
    <n v="22495"/>
    <s v="17-05-2026"/>
    <x v="0"/>
  </r>
  <r>
    <s v="B016"/>
    <s v="Meera Iyer"/>
    <x v="8"/>
    <s v="F"/>
    <x v="0"/>
    <n v="35549"/>
    <s v="21-03-2026"/>
    <x v="0"/>
  </r>
  <r>
    <s v="B017"/>
    <s v="Pooja Nair"/>
    <x v="9"/>
    <s v="M"/>
    <x v="4"/>
    <n v="77553"/>
    <s v="15-01-2026"/>
    <x v="0"/>
  </r>
  <r>
    <s v="B018"/>
    <s v="Rahul Sharma"/>
    <x v="10"/>
    <s v="M"/>
    <x v="5"/>
    <n v="24026"/>
    <s v="24-06-2026"/>
    <x v="1"/>
  </r>
  <r>
    <s v="B019"/>
    <s v="Sarthak Roy"/>
    <x v="11"/>
    <s v="F"/>
    <x v="3"/>
    <n v="68263"/>
    <s v="04-02-2026"/>
    <x v="1"/>
  </r>
  <r>
    <s v="B020"/>
    <s v="Meera Iyer"/>
    <x v="12"/>
    <s v="F"/>
    <x v="0"/>
    <n v="38063"/>
    <s v="12-03-2026"/>
    <x v="0"/>
  </r>
  <r>
    <s v="B021"/>
    <s v="Aman Jain"/>
    <x v="4"/>
    <s v="M"/>
    <x v="4"/>
    <n v="76289"/>
    <s v="12-06-2026"/>
    <x v="0"/>
  </r>
  <r>
    <s v="B022"/>
    <s v="Ananya Das"/>
    <x v="12"/>
    <s v="F"/>
    <x v="2"/>
    <n v="16923"/>
    <s v="05-06-2026"/>
    <x v="0"/>
  </r>
  <r>
    <s v="B023"/>
    <s v="Harsh Vardhan"/>
    <x v="13"/>
    <s v="F"/>
    <x v="0"/>
    <n v="36647"/>
    <s v="04-05-2026"/>
    <x v="0"/>
  </r>
  <r>
    <s v="B024"/>
    <s v="Harsh Vardhan"/>
    <x v="14"/>
    <s v="M"/>
    <x v="0"/>
    <n v="27606"/>
    <s v="22-06-2026"/>
    <x v="0"/>
  </r>
  <r>
    <s v="B025"/>
    <s v="Ritika Sharma"/>
    <x v="15"/>
    <s v="F"/>
    <x v="2"/>
    <n v="21394"/>
    <s v="10-01-2026"/>
    <x v="0"/>
  </r>
  <r>
    <s v="B026"/>
    <s v="Ritika Sharma"/>
    <x v="16"/>
    <s v="F"/>
    <x v="3"/>
    <n v="54115"/>
    <s v="08-05-2026"/>
    <x v="1"/>
  </r>
  <r>
    <s v="B027"/>
    <s v="Rohan Das"/>
    <x v="17"/>
    <s v="M"/>
    <x v="2"/>
    <n v="18362"/>
    <s v="19-02-2026"/>
    <x v="0"/>
  </r>
  <r>
    <s v="B028"/>
    <s v="Rohan Das"/>
    <x v="18"/>
    <s v="F"/>
    <x v="4"/>
    <n v="83794"/>
    <s v="13-03-2026"/>
    <x v="0"/>
  </r>
  <r>
    <s v="B029"/>
    <s v="Rahul Sharma"/>
    <x v="7"/>
    <s v="F"/>
    <x v="4"/>
    <n v="65602"/>
    <s v="19-05-2026"/>
    <x v="0"/>
  </r>
  <r>
    <s v="B030"/>
    <s v="Yash Gupta"/>
    <x v="9"/>
    <s v="M"/>
    <x v="0"/>
    <n v="34041"/>
    <s v="06-03-2026"/>
    <x v="0"/>
  </r>
  <r>
    <s v="B031"/>
    <s v="Rahul Sharma"/>
    <x v="19"/>
    <s v="M"/>
    <x v="2"/>
    <n v="18636"/>
    <s v="12-05-2026"/>
    <x v="0"/>
  </r>
  <r>
    <s v="B032"/>
    <s v="Sarthak Roy"/>
    <x v="3"/>
    <s v="M"/>
    <x v="0"/>
    <n v="32850"/>
    <s v="27-06-2026"/>
    <x v="0"/>
  </r>
  <r>
    <s v="B033"/>
    <s v="Priya Singh"/>
    <x v="6"/>
    <s v="M"/>
    <x v="1"/>
    <n v="20727"/>
    <s v="17-03-2026"/>
    <x v="0"/>
  </r>
  <r>
    <s v="B034"/>
    <s v="Sarthak Roy"/>
    <x v="8"/>
    <s v="M"/>
    <x v="2"/>
    <n v="17254"/>
    <s v="28-04-2026"/>
    <x v="0"/>
  </r>
  <r>
    <s v="B035"/>
    <s v="Arjun Kumar"/>
    <x v="20"/>
    <s v="F"/>
    <x v="5"/>
    <n v="16601"/>
    <s v="31-01-2026"/>
    <x v="0"/>
  </r>
  <r>
    <s v="B036"/>
    <s v="Aman Jain"/>
    <x v="3"/>
    <s v="M"/>
    <x v="0"/>
    <n v="34511"/>
    <s v="28-02-2026"/>
    <x v="0"/>
  </r>
  <r>
    <s v="B037"/>
    <s v="Rohan Das"/>
    <x v="21"/>
    <s v="F"/>
    <x v="3"/>
    <n v="72618"/>
    <s v="08-01-2026"/>
    <x v="0"/>
  </r>
  <r>
    <s v="B038"/>
    <s v="Rahul Sharma"/>
    <x v="22"/>
    <s v="M"/>
    <x v="0"/>
    <n v="26325"/>
    <s v="13-05-2026"/>
    <x v="0"/>
  </r>
  <r>
    <s v="B039"/>
    <s v="Nikhil Joshi"/>
    <x v="18"/>
    <s v="M"/>
    <x v="2"/>
    <n v="17651"/>
    <s v="22-02-2026"/>
    <x v="0"/>
  </r>
  <r>
    <s v="B040"/>
    <s v="Aditya Verma"/>
    <x v="15"/>
    <s v="M"/>
    <x v="2"/>
    <n v="19378"/>
    <s v="20-04-2026"/>
    <x v="0"/>
  </r>
  <r>
    <s v="B041"/>
    <s v="Yash Gupta"/>
    <x v="4"/>
    <s v="F"/>
    <x v="3"/>
    <n v="53612"/>
    <s v="04-03-2026"/>
    <x v="0"/>
  </r>
  <r>
    <s v="B042"/>
    <s v="Sarthak Roy"/>
    <x v="0"/>
    <s v="F"/>
    <x v="3"/>
    <n v="59321"/>
    <s v="02-06-2026"/>
    <x v="0"/>
  </r>
  <r>
    <s v="B043"/>
    <s v="Ananya Das"/>
    <x v="23"/>
    <s v="M"/>
    <x v="5"/>
    <n v="21669"/>
    <s v="05-05-2026"/>
    <x v="0"/>
  </r>
  <r>
    <s v="B044"/>
    <s v="Vikram Rao"/>
    <x v="0"/>
    <s v="F"/>
    <x v="4"/>
    <n v="63695"/>
    <s v="18-02-2026"/>
    <x v="0"/>
  </r>
  <r>
    <s v="B045"/>
    <s v="Meera Iyer"/>
    <x v="2"/>
    <s v="M"/>
    <x v="2"/>
    <n v="16137"/>
    <s v="28-04-2026"/>
    <x v="0"/>
  </r>
  <r>
    <s v="B046"/>
    <s v="Sneha Patel"/>
    <x v="24"/>
    <s v="F"/>
    <x v="0"/>
    <n v="26581"/>
    <s v="16-04-2026"/>
    <x v="0"/>
  </r>
  <r>
    <s v="B047"/>
    <s v="Ananya Das"/>
    <x v="10"/>
    <s v="F"/>
    <x v="1"/>
    <n v="19510"/>
    <s v="19-01-2026"/>
    <x v="1"/>
  </r>
  <r>
    <s v="B048"/>
    <s v="Kavya Reddy"/>
    <x v="5"/>
    <s v="F"/>
    <x v="2"/>
    <n v="18575"/>
    <s v="29-01-2026"/>
    <x v="1"/>
  </r>
  <r>
    <s v="B049"/>
    <s v="Kavya Reddy"/>
    <x v="21"/>
    <s v="F"/>
    <x v="0"/>
    <n v="29381"/>
    <s v="08-02-2026"/>
    <x v="0"/>
  </r>
  <r>
    <s v="B050"/>
    <s v="Meera Iyer"/>
    <x v="20"/>
    <s v="M"/>
    <x v="5"/>
    <n v="24065"/>
    <s v="02-02-2026"/>
    <x v="1"/>
  </r>
  <r>
    <s v="B051"/>
    <s v="Nikhil Joshi"/>
    <x v="16"/>
    <s v="F"/>
    <x v="2"/>
    <n v="18884"/>
    <s v="10-06-2026"/>
    <x v="0"/>
  </r>
  <r>
    <s v="B052"/>
    <s v="Karan Mehta"/>
    <x v="5"/>
    <s v="M"/>
    <x v="2"/>
    <n v="17525"/>
    <s v="16-02-2026"/>
    <x v="0"/>
  </r>
  <r>
    <s v="B053"/>
    <s v="Kavya Reddy"/>
    <x v="25"/>
    <s v="F"/>
    <x v="5"/>
    <n v="23867"/>
    <s v="25-02-2026"/>
    <x v="0"/>
  </r>
  <r>
    <s v="B054"/>
    <s v="Arjun Kumar"/>
    <x v="23"/>
    <s v="F"/>
    <x v="0"/>
    <n v="32638"/>
    <s v="01-03-2026"/>
    <x v="0"/>
  </r>
  <r>
    <s v="B055"/>
    <s v="Ritika Sharma"/>
    <x v="23"/>
    <s v="M"/>
    <x v="5"/>
    <n v="24707"/>
    <s v="06-03-2026"/>
    <x v="0"/>
  </r>
  <r>
    <s v="B056"/>
    <s v="Arjun Kumar"/>
    <x v="13"/>
    <s v="F"/>
    <x v="0"/>
    <n v="30819"/>
    <s v="14-02-2026"/>
    <x v="0"/>
  </r>
  <r>
    <s v="B057"/>
    <s v="Rahul Sharma"/>
    <x v="2"/>
    <s v="M"/>
    <x v="1"/>
    <n v="26550"/>
    <s v="27-06-2026"/>
    <x v="1"/>
  </r>
  <r>
    <s v="B058"/>
    <s v="Ananya Das"/>
    <x v="19"/>
    <s v="F"/>
    <x v="3"/>
    <n v="71391"/>
    <s v="06-06-2026"/>
    <x v="1"/>
  </r>
  <r>
    <s v="B059"/>
    <s v="Sneha Patel"/>
    <x v="26"/>
    <s v="M"/>
    <x v="0"/>
    <n v="35668"/>
    <s v="31-01-2026"/>
    <x v="0"/>
  </r>
  <r>
    <s v="B060"/>
    <s v="Meera Iyer"/>
    <x v="7"/>
    <s v="F"/>
    <x v="2"/>
    <n v="20712"/>
    <s v="23-01-2026"/>
    <x v="0"/>
  </r>
  <r>
    <s v="B061"/>
    <s v="Yash Gupta"/>
    <x v="10"/>
    <s v="F"/>
    <x v="4"/>
    <n v="76031"/>
    <s v="27-02-2026"/>
    <x v="0"/>
  </r>
  <r>
    <s v="B062"/>
    <s v="Meera Iyer"/>
    <x v="14"/>
    <s v="M"/>
    <x v="2"/>
    <n v="18174"/>
    <s v="01-01-2026"/>
    <x v="0"/>
  </r>
  <r>
    <s v="B063"/>
    <s v="Aditya Verma"/>
    <x v="1"/>
    <s v="M"/>
    <x v="2"/>
    <n v="16020"/>
    <s v="07-01-2026"/>
    <x v="0"/>
  </r>
  <r>
    <s v="B064"/>
    <s v="Kavya Reddy"/>
    <x v="22"/>
    <s v="F"/>
    <x v="3"/>
    <n v="52388"/>
    <s v="20-04-2026"/>
    <x v="0"/>
  </r>
  <r>
    <s v="B065"/>
    <s v="Aman Jain"/>
    <x v="13"/>
    <s v="F"/>
    <x v="1"/>
    <n v="24710"/>
    <s v="01-06-2026"/>
    <x v="0"/>
  </r>
  <r>
    <s v="B066"/>
    <s v="Rohan Das"/>
    <x v="10"/>
    <s v="F"/>
    <x v="2"/>
    <n v="17201"/>
    <s v="18-01-2026"/>
    <x v="0"/>
  </r>
  <r>
    <s v="B067"/>
    <s v="Sarthak Roy"/>
    <x v="3"/>
    <s v="M"/>
    <x v="0"/>
    <n v="35215"/>
    <s v="16-01-2026"/>
    <x v="1"/>
  </r>
  <r>
    <s v="B068"/>
    <s v="Aman Jain"/>
    <x v="12"/>
    <s v="F"/>
    <x v="2"/>
    <n v="17216"/>
    <s v="14-01-2026"/>
    <x v="0"/>
  </r>
  <r>
    <s v="B069"/>
    <s v="Aman Jain"/>
    <x v="27"/>
    <s v="F"/>
    <x v="2"/>
    <n v="19928"/>
    <s v="25-01-2026"/>
    <x v="0"/>
  </r>
  <r>
    <s v="B070"/>
    <s v="Karan Mehta"/>
    <x v="9"/>
    <s v="F"/>
    <x v="1"/>
    <n v="23528"/>
    <s v="09-04-2026"/>
    <x v="0"/>
  </r>
  <r>
    <s v="B071"/>
    <s v="Aman Jain"/>
    <x v="12"/>
    <s v="M"/>
    <x v="3"/>
    <n v="60881"/>
    <s v="15-01-2026"/>
    <x v="0"/>
  </r>
  <r>
    <s v="B072"/>
    <s v="Aditya Verma"/>
    <x v="2"/>
    <s v="F"/>
    <x v="5"/>
    <n v="19679"/>
    <s v="14-02-2026"/>
    <x v="1"/>
  </r>
  <r>
    <s v="B073"/>
    <s v="Yash Gupta"/>
    <x v="2"/>
    <s v="F"/>
    <x v="0"/>
    <n v="27720"/>
    <s v="28-06-2026"/>
    <x v="0"/>
  </r>
  <r>
    <s v="B074"/>
    <s v="Rohan Das"/>
    <x v="7"/>
    <s v="F"/>
    <x v="3"/>
    <n v="70814"/>
    <s v="14-02-2026"/>
    <x v="0"/>
  </r>
  <r>
    <s v="B075"/>
    <s v="Karan Mehta"/>
    <x v="10"/>
    <s v="M"/>
    <x v="3"/>
    <n v="55709"/>
    <s v="16-02-2026"/>
    <x v="0"/>
  </r>
  <r>
    <s v="B076"/>
    <s v="Vikram Rao"/>
    <x v="26"/>
    <s v="F"/>
    <x v="0"/>
    <n v="26722"/>
    <s v="08-02-2026"/>
    <x v="0"/>
  </r>
  <r>
    <s v="B077"/>
    <s v="Priya Singh"/>
    <x v="25"/>
    <s v="F"/>
    <x v="4"/>
    <n v="57093"/>
    <s v="13-04-2026"/>
    <x v="0"/>
  </r>
  <r>
    <s v="B078"/>
    <s v="Ananya Das"/>
    <x v="15"/>
    <s v="M"/>
    <x v="3"/>
    <n v="59865"/>
    <s v="27-01-2026"/>
    <x v="0"/>
  </r>
  <r>
    <s v="B079"/>
    <s v="Kavya Reddy"/>
    <x v="11"/>
    <s v="M"/>
    <x v="0"/>
    <n v="35286"/>
    <s v="20-05-2026"/>
    <x v="1"/>
  </r>
  <r>
    <s v="B080"/>
    <s v="Pooja Nair"/>
    <x v="17"/>
    <s v="F"/>
    <x v="3"/>
    <n v="55197"/>
    <s v="12-03-2026"/>
    <x v="0"/>
  </r>
  <r>
    <s v="B081"/>
    <s v="Ananya Das"/>
    <x v="14"/>
    <s v="M"/>
    <x v="0"/>
    <n v="29119"/>
    <s v="16-03-2026"/>
    <x v="0"/>
  </r>
  <r>
    <s v="B082"/>
    <s v="Meera Iyer"/>
    <x v="1"/>
    <s v="M"/>
    <x v="3"/>
    <n v="53720"/>
    <s v="21-05-2026"/>
    <x v="1"/>
  </r>
  <r>
    <s v="B083"/>
    <s v="Vikram Rao"/>
    <x v="10"/>
    <s v="F"/>
    <x v="1"/>
    <n v="24258"/>
    <s v="24-03-2026"/>
    <x v="0"/>
  </r>
  <r>
    <s v="B084"/>
    <s v="Rohan Das"/>
    <x v="15"/>
    <s v="M"/>
    <x v="4"/>
    <n v="58107"/>
    <s v="03-04-2026"/>
    <x v="1"/>
  </r>
  <r>
    <s v="B085"/>
    <s v="Ritika Sharma"/>
    <x v="15"/>
    <s v="M"/>
    <x v="4"/>
    <n v="57004"/>
    <s v="29-06-2026"/>
    <x v="0"/>
  </r>
  <r>
    <s v="B086"/>
    <s v="Arjun Kumar"/>
    <x v="26"/>
    <s v="F"/>
    <x v="2"/>
    <n v="15429"/>
    <s v="28-04-2026"/>
    <x v="0"/>
  </r>
  <r>
    <s v="B087"/>
    <s v="Sarthak Roy"/>
    <x v="25"/>
    <s v="M"/>
    <x v="4"/>
    <n v="57750"/>
    <s v="19-03-2026"/>
    <x v="0"/>
  </r>
  <r>
    <s v="B088"/>
    <s v="Kavya Reddy"/>
    <x v="19"/>
    <s v="F"/>
    <x v="3"/>
    <n v="66673"/>
    <s v="30-05-2026"/>
    <x v="0"/>
  </r>
  <r>
    <s v="B089"/>
    <s v="Vikram Rao"/>
    <x v="2"/>
    <s v="F"/>
    <x v="2"/>
    <n v="21880"/>
    <s v="03-04-2026"/>
    <x v="0"/>
  </r>
  <r>
    <s v="B090"/>
    <s v="Sarthak Roy"/>
    <x v="4"/>
    <s v="F"/>
    <x v="5"/>
    <n v="23099"/>
    <s v="24-04-2026"/>
    <x v="0"/>
  </r>
  <r>
    <s v="B091"/>
    <s v="Pooja Nair"/>
    <x v="14"/>
    <s v="F"/>
    <x v="0"/>
    <n v="25469"/>
    <s v="07-01-2026"/>
    <x v="0"/>
  </r>
  <r>
    <s v="B092"/>
    <s v="Neha Gupta"/>
    <x v="8"/>
    <s v="F"/>
    <x v="4"/>
    <n v="65510"/>
    <s v="07-05-2026"/>
    <x v="0"/>
  </r>
  <r>
    <s v="B093"/>
    <s v="Sarthak Roy"/>
    <x v="5"/>
    <s v="F"/>
    <x v="5"/>
    <n v="21509"/>
    <s v="04-05-2026"/>
    <x v="0"/>
  </r>
  <r>
    <s v="B094"/>
    <s v="Yash Gupta"/>
    <x v="16"/>
    <s v="M"/>
    <x v="0"/>
    <n v="38662"/>
    <s v="11-05-2026"/>
    <x v="1"/>
  </r>
  <r>
    <s v="B095"/>
    <s v="Rahul Sharma"/>
    <x v="19"/>
    <s v="M"/>
    <x v="3"/>
    <n v="53874"/>
    <s v="16-04-2026"/>
    <x v="1"/>
  </r>
  <r>
    <s v="B096"/>
    <s v="Yash Gupta"/>
    <x v="22"/>
    <s v="M"/>
    <x v="4"/>
    <n v="67948"/>
    <s v="23-04-2026"/>
    <x v="0"/>
  </r>
  <r>
    <s v="B097"/>
    <s v="Rohan Das"/>
    <x v="25"/>
    <s v="M"/>
    <x v="1"/>
    <n v="18926"/>
    <s v="02-05-2026"/>
    <x v="0"/>
  </r>
  <r>
    <s v="B098"/>
    <s v="Aditya Verma"/>
    <x v="19"/>
    <s v="M"/>
    <x v="5"/>
    <n v="22891"/>
    <s v="19-02-2026"/>
    <x v="1"/>
  </r>
  <r>
    <s v="B099"/>
    <s v="Pooja Nair"/>
    <x v="18"/>
    <s v="F"/>
    <x v="5"/>
    <n v="21644"/>
    <s v="05-02-2026"/>
    <x v="0"/>
  </r>
  <r>
    <s v="B100"/>
    <s v="Rahul Sharma"/>
    <x v="9"/>
    <s v="F"/>
    <x v="3"/>
    <n v="69832"/>
    <s v="09-01-2026"/>
    <x v="1"/>
  </r>
  <r>
    <s v="B101"/>
    <s v="Pooja Nair"/>
    <x v="12"/>
    <s v="M"/>
    <x v="3"/>
    <n v="57289"/>
    <s v="19-01-2026"/>
    <x v="0"/>
  </r>
  <r>
    <s v="B102"/>
    <s v="Vikram Rao"/>
    <x v="13"/>
    <s v="F"/>
    <x v="4"/>
    <n v="64772"/>
    <s v="05-04-2026"/>
    <x v="1"/>
  </r>
  <r>
    <s v="B103"/>
    <s v="Sarthak Roy"/>
    <x v="4"/>
    <s v="M"/>
    <x v="1"/>
    <n v="19759"/>
    <s v="01-05-2026"/>
    <x v="0"/>
  </r>
  <r>
    <s v="B104"/>
    <s v="Priya Singh"/>
    <x v="19"/>
    <s v="M"/>
    <x v="3"/>
    <n v="60115"/>
    <s v="20-01-2026"/>
    <x v="0"/>
  </r>
  <r>
    <s v="B105"/>
    <s v="Aisha Khan"/>
    <x v="19"/>
    <s v="M"/>
    <x v="5"/>
    <n v="20799"/>
    <s v="28-04-2026"/>
    <x v="0"/>
  </r>
  <r>
    <s v="B106"/>
    <s v="Neha Gupta"/>
    <x v="9"/>
    <s v="M"/>
    <x v="3"/>
    <n v="51601"/>
    <s v="16-06-2026"/>
    <x v="0"/>
  </r>
  <r>
    <s v="B107"/>
    <s v="Kavya Reddy"/>
    <x v="18"/>
    <s v="F"/>
    <x v="5"/>
    <n v="15325"/>
    <s v="19-06-2026"/>
    <x v="0"/>
  </r>
  <r>
    <s v="B108"/>
    <s v="Meera Iyer"/>
    <x v="19"/>
    <s v="M"/>
    <x v="3"/>
    <n v="51352"/>
    <s v="14-03-2026"/>
    <x v="1"/>
  </r>
  <r>
    <s v="B109"/>
    <s v="Ananya Das"/>
    <x v="26"/>
    <s v="F"/>
    <x v="2"/>
    <n v="21453"/>
    <s v="11-05-2026"/>
    <x v="0"/>
  </r>
  <r>
    <s v="B110"/>
    <s v="Vikram Rao"/>
    <x v="16"/>
    <s v="F"/>
    <x v="0"/>
    <n v="26490"/>
    <s v="27-01-2026"/>
    <x v="0"/>
  </r>
  <r>
    <s v="B111"/>
    <s v="Sneha Patel"/>
    <x v="20"/>
    <s v="M"/>
    <x v="5"/>
    <n v="19272"/>
    <s v="05-03-2026"/>
    <x v="1"/>
  </r>
  <r>
    <s v="B112"/>
    <s v="Priya Singh"/>
    <x v="25"/>
    <s v="F"/>
    <x v="3"/>
    <n v="71265"/>
    <s v="28-02-2026"/>
    <x v="1"/>
  </r>
  <r>
    <s v="B113"/>
    <s v="Arjun Kumar"/>
    <x v="28"/>
    <s v="M"/>
    <x v="4"/>
    <n v="56123"/>
    <s v="12-06-2026"/>
    <x v="0"/>
  </r>
  <r>
    <s v="B114"/>
    <s v="Ritika Sharma"/>
    <x v="18"/>
    <s v="F"/>
    <x v="2"/>
    <n v="20285"/>
    <s v="10-04-2026"/>
    <x v="0"/>
  </r>
  <r>
    <s v="B115"/>
    <s v="Meera Iyer"/>
    <x v="4"/>
    <s v="M"/>
    <x v="5"/>
    <n v="19396"/>
    <s v="09-06-2026"/>
    <x v="1"/>
  </r>
  <r>
    <s v="B116"/>
    <s v="Karan Mehta"/>
    <x v="26"/>
    <s v="M"/>
    <x v="5"/>
    <n v="16817"/>
    <s v="06-01-2026"/>
    <x v="1"/>
  </r>
  <r>
    <s v="B117"/>
    <s v="Aman Jain"/>
    <x v="22"/>
    <s v="M"/>
    <x v="3"/>
    <n v="56948"/>
    <s v="12-02-2026"/>
    <x v="1"/>
  </r>
  <r>
    <s v="B118"/>
    <s v="Sneha Patel"/>
    <x v="11"/>
    <s v="F"/>
    <x v="3"/>
    <n v="64851"/>
    <s v="21-02-2026"/>
    <x v="1"/>
  </r>
  <r>
    <s v="B119"/>
    <s v="Neha Gupta"/>
    <x v="19"/>
    <s v="F"/>
    <x v="5"/>
    <n v="23320"/>
    <s v="03-05-2026"/>
    <x v="0"/>
  </r>
  <r>
    <s v="B120"/>
    <s v="Pooja Nair"/>
    <x v="28"/>
    <s v="M"/>
    <x v="1"/>
    <n v="21139"/>
    <s v="17-05-2026"/>
    <x v="0"/>
  </r>
  <r>
    <s v="B121"/>
    <s v="Ritika Sharma"/>
    <x v="1"/>
    <s v="F"/>
    <x v="5"/>
    <n v="19819"/>
    <s v="24-01-2026"/>
    <x v="0"/>
  </r>
  <r>
    <s v="B122"/>
    <s v="Pooja Nair"/>
    <x v="2"/>
    <s v="M"/>
    <x v="1"/>
    <n v="22925"/>
    <s v="11-04-2026"/>
    <x v="1"/>
  </r>
  <r>
    <s v="B123"/>
    <s v="Sneha Patel"/>
    <x v="12"/>
    <s v="M"/>
    <x v="4"/>
    <n v="83411"/>
    <s v="01-02-2026"/>
    <x v="0"/>
  </r>
  <r>
    <s v="B124"/>
    <s v="Pooja Nair"/>
    <x v="7"/>
    <s v="M"/>
    <x v="2"/>
    <n v="18249"/>
    <s v="16-04-2026"/>
    <x v="0"/>
  </r>
  <r>
    <s v="B125"/>
    <s v="Aman Jain"/>
    <x v="8"/>
    <s v="F"/>
    <x v="3"/>
    <n v="50046"/>
    <s v="11-04-2026"/>
    <x v="0"/>
  </r>
  <r>
    <s v="B126"/>
    <s v="Aman Jain"/>
    <x v="5"/>
    <s v="F"/>
    <x v="4"/>
    <n v="78802"/>
    <s v="26-02-2026"/>
    <x v="0"/>
  </r>
  <r>
    <s v="B127"/>
    <s v="Karan Mehta"/>
    <x v="4"/>
    <s v="F"/>
    <x v="3"/>
    <n v="59638"/>
    <s v="10-04-2026"/>
    <x v="1"/>
  </r>
  <r>
    <s v="B128"/>
    <s v="Harsh Vardhan"/>
    <x v="6"/>
    <s v="F"/>
    <x v="4"/>
    <n v="70078"/>
    <s v="02-04-2026"/>
    <x v="0"/>
  </r>
  <r>
    <s v="B129"/>
    <s v="Ritika Sharma"/>
    <x v="15"/>
    <s v="M"/>
    <x v="5"/>
    <n v="18881"/>
    <s v="27-06-2026"/>
    <x v="0"/>
  </r>
  <r>
    <s v="B130"/>
    <s v="Aman Jain"/>
    <x v="1"/>
    <s v="M"/>
    <x v="1"/>
    <n v="27543"/>
    <s v="06-03-2026"/>
    <x v="1"/>
  </r>
  <r>
    <s v="B131"/>
    <s v="Aman Jain"/>
    <x v="5"/>
    <s v="M"/>
    <x v="3"/>
    <n v="62806"/>
    <s v="07-03-2026"/>
    <x v="1"/>
  </r>
  <r>
    <s v="B132"/>
    <s v="Pooja Nair"/>
    <x v="13"/>
    <s v="F"/>
    <x v="3"/>
    <n v="64562"/>
    <s v="16-05-2026"/>
    <x v="0"/>
  </r>
  <r>
    <s v="B133"/>
    <s v="Kavya Reddy"/>
    <x v="28"/>
    <s v="M"/>
    <x v="4"/>
    <n v="61693"/>
    <s v="19-04-2026"/>
    <x v="0"/>
  </r>
  <r>
    <s v="B134"/>
    <s v="Priya Singh"/>
    <x v="10"/>
    <s v="M"/>
    <x v="0"/>
    <n v="39546"/>
    <s v="19-06-2026"/>
    <x v="0"/>
  </r>
  <r>
    <s v="B135"/>
    <s v="Aditya Verma"/>
    <x v="15"/>
    <s v="M"/>
    <x v="3"/>
    <n v="52169"/>
    <s v="29-06-2026"/>
    <x v="0"/>
  </r>
  <r>
    <s v="B136"/>
    <s v="Aditya Verma"/>
    <x v="20"/>
    <s v="M"/>
    <x v="4"/>
    <n v="82570"/>
    <s v="06-02-2026"/>
    <x v="0"/>
  </r>
  <r>
    <s v="B137"/>
    <s v="Ananya Das"/>
    <x v="20"/>
    <s v="F"/>
    <x v="3"/>
    <n v="71892"/>
    <s v="03-05-2026"/>
    <x v="0"/>
  </r>
  <r>
    <s v="B138"/>
    <s v="Meera Iyer"/>
    <x v="9"/>
    <s v="F"/>
    <x v="2"/>
    <n v="18181"/>
    <s v="05-02-2026"/>
    <x v="0"/>
  </r>
  <r>
    <s v="B139"/>
    <s v="Kavya Reddy"/>
    <x v="22"/>
    <s v="F"/>
    <x v="3"/>
    <n v="55989"/>
    <s v="03-02-2026"/>
    <x v="1"/>
  </r>
  <r>
    <s v="B140"/>
    <s v="Meera Iyer"/>
    <x v="19"/>
    <s v="M"/>
    <x v="0"/>
    <n v="34107"/>
    <s v="26-04-2026"/>
    <x v="0"/>
  </r>
  <r>
    <s v="B141"/>
    <s v="Aditya Verma"/>
    <x v="4"/>
    <s v="F"/>
    <x v="1"/>
    <n v="20777"/>
    <s v="05-04-2026"/>
    <x v="0"/>
  </r>
  <r>
    <s v="B142"/>
    <s v="Kavya Reddy"/>
    <x v="1"/>
    <s v="F"/>
    <x v="5"/>
    <n v="19897"/>
    <s v="29-01-2026"/>
    <x v="0"/>
  </r>
  <r>
    <s v="B143"/>
    <s v="Nikhil Joshi"/>
    <x v="25"/>
    <s v="M"/>
    <x v="5"/>
    <n v="24132"/>
    <s v="03-05-2026"/>
    <x v="0"/>
  </r>
  <r>
    <s v="B144"/>
    <s v="Sarthak Roy"/>
    <x v="11"/>
    <s v="F"/>
    <x v="3"/>
    <n v="50468"/>
    <s v="28-02-2026"/>
    <x v="0"/>
  </r>
  <r>
    <s v="B145"/>
    <s v="Ananya Das"/>
    <x v="8"/>
    <s v="M"/>
    <x v="2"/>
    <n v="19315"/>
    <s v="19-03-2026"/>
    <x v="0"/>
  </r>
  <r>
    <s v="B146"/>
    <s v="Aditya Verma"/>
    <x v="17"/>
    <s v="M"/>
    <x v="3"/>
    <n v="59349"/>
    <s v="04-01-2026"/>
    <x v="0"/>
  </r>
  <r>
    <s v="B147"/>
    <s v="Harsh Vardhan"/>
    <x v="13"/>
    <s v="M"/>
    <x v="2"/>
    <n v="14368"/>
    <s v="13-03-2026"/>
    <x v="0"/>
  </r>
  <r>
    <s v="B148"/>
    <s v="Harsh Vardhan"/>
    <x v="7"/>
    <s v="M"/>
    <x v="4"/>
    <n v="67938"/>
    <s v="26-06-2026"/>
    <x v="0"/>
  </r>
  <r>
    <s v="B149"/>
    <s v="Sneha Patel"/>
    <x v="4"/>
    <s v="M"/>
    <x v="1"/>
    <n v="18361"/>
    <s v="11-02-2026"/>
    <x v="0"/>
  </r>
  <r>
    <s v="B150"/>
    <s v="Arjun Kumar"/>
    <x v="15"/>
    <s v="M"/>
    <x v="0"/>
    <n v="38962"/>
    <s v="05-04-2026"/>
    <x v="0"/>
  </r>
  <r>
    <s v="B151"/>
    <s v="Sarthak Roy"/>
    <x v="9"/>
    <s v="M"/>
    <x v="3"/>
    <n v="74134"/>
    <s v="16-02-2026"/>
    <x v="0"/>
  </r>
  <r>
    <s v="B152"/>
    <s v="Rahul Sharma"/>
    <x v="0"/>
    <s v="F"/>
    <x v="3"/>
    <n v="58267"/>
    <s v="13-06-2026"/>
    <x v="0"/>
  </r>
  <r>
    <s v="B153"/>
    <s v="Sarthak Roy"/>
    <x v="1"/>
    <s v="M"/>
    <x v="5"/>
    <n v="24514"/>
    <s v="24-05-2026"/>
    <x v="0"/>
  </r>
  <r>
    <s v="B154"/>
    <s v="Nikhil Joshi"/>
    <x v="6"/>
    <s v="M"/>
    <x v="0"/>
    <n v="32496"/>
    <s v="02-04-2026"/>
    <x v="0"/>
  </r>
  <r>
    <s v="B155"/>
    <s v="Vikram Rao"/>
    <x v="15"/>
    <s v="M"/>
    <x v="5"/>
    <n v="15864"/>
    <s v="06-05-2026"/>
    <x v="0"/>
  </r>
  <r>
    <s v="B156"/>
    <s v="Ritika Sharma"/>
    <x v="27"/>
    <s v="F"/>
    <x v="4"/>
    <n v="81861"/>
    <s v="06-01-2026"/>
    <x v="0"/>
  </r>
  <r>
    <s v="B157"/>
    <s v="Priya Singh"/>
    <x v="22"/>
    <s v="F"/>
    <x v="2"/>
    <n v="19422"/>
    <s v="15-01-2026"/>
    <x v="0"/>
  </r>
  <r>
    <s v="B158"/>
    <s v="Ritika Sharma"/>
    <x v="4"/>
    <s v="M"/>
    <x v="1"/>
    <n v="22509"/>
    <s v="27-05-2026"/>
    <x v="1"/>
  </r>
  <r>
    <s v="B159"/>
    <s v="Harsh Vardhan"/>
    <x v="24"/>
    <s v="F"/>
    <x v="4"/>
    <n v="80603"/>
    <s v="24-01-2026"/>
    <x v="0"/>
  </r>
  <r>
    <s v="B160"/>
    <s v="Nikhil Joshi"/>
    <x v="3"/>
    <s v="M"/>
    <x v="3"/>
    <n v="56355"/>
    <s v="22-06-2026"/>
    <x v="0"/>
  </r>
  <r>
    <s v="B161"/>
    <s v="Pooja Nair"/>
    <x v="11"/>
    <s v="M"/>
    <x v="0"/>
    <n v="37200"/>
    <s v="10-01-2026"/>
    <x v="0"/>
  </r>
  <r>
    <s v="B162"/>
    <s v="Pooja Nair"/>
    <x v="4"/>
    <s v="F"/>
    <x v="0"/>
    <n v="30451"/>
    <s v="19-04-2026"/>
    <x v="0"/>
  </r>
  <r>
    <s v="B163"/>
    <s v="Arjun Kumar"/>
    <x v="16"/>
    <s v="M"/>
    <x v="5"/>
    <n v="20825"/>
    <s v="09-05-2026"/>
    <x v="0"/>
  </r>
  <r>
    <s v="B164"/>
    <s v="Nikhil Joshi"/>
    <x v="19"/>
    <s v="M"/>
    <x v="3"/>
    <n v="62068"/>
    <s v="09-01-2026"/>
    <x v="0"/>
  </r>
  <r>
    <s v="B165"/>
    <s v="Harsh Vardhan"/>
    <x v="26"/>
    <s v="F"/>
    <x v="1"/>
    <n v="18826"/>
    <s v="24-06-2026"/>
    <x v="0"/>
  </r>
  <r>
    <s v="B166"/>
    <s v="Neha Gupta"/>
    <x v="5"/>
    <s v="F"/>
    <x v="2"/>
    <n v="14582"/>
    <s v="06-05-2026"/>
    <x v="1"/>
  </r>
  <r>
    <s v="B167"/>
    <s v="Arjun Kumar"/>
    <x v="16"/>
    <s v="M"/>
    <x v="4"/>
    <n v="83413"/>
    <s v="20-06-2026"/>
    <x v="0"/>
  </r>
  <r>
    <s v="B168"/>
    <s v="Rahul Sharma"/>
    <x v="14"/>
    <s v="M"/>
    <x v="4"/>
    <n v="68575"/>
    <s v="10-02-2026"/>
    <x v="1"/>
  </r>
  <r>
    <s v="B169"/>
    <s v="Vikram Rao"/>
    <x v="22"/>
    <s v="M"/>
    <x v="1"/>
    <n v="23848"/>
    <s v="17-05-2026"/>
    <x v="0"/>
  </r>
  <r>
    <s v="B170"/>
    <s v="Rahul Sharma"/>
    <x v="20"/>
    <s v="F"/>
    <x v="5"/>
    <n v="21410"/>
    <s v="28-03-2026"/>
    <x v="0"/>
  </r>
  <r>
    <s v="B171"/>
    <s v="Rahul Sharma"/>
    <x v="15"/>
    <s v="F"/>
    <x v="2"/>
    <n v="19154"/>
    <s v="21-04-2026"/>
    <x v="0"/>
  </r>
  <r>
    <s v="B172"/>
    <s v="Sarthak Roy"/>
    <x v="7"/>
    <s v="M"/>
    <x v="4"/>
    <n v="80473"/>
    <s v="07-03-2026"/>
    <x v="0"/>
  </r>
  <r>
    <s v="B173"/>
    <s v="Meera Iyer"/>
    <x v="12"/>
    <s v="M"/>
    <x v="4"/>
    <n v="55470"/>
    <s v="15-04-2026"/>
    <x v="0"/>
  </r>
  <r>
    <s v="B174"/>
    <s v="Harsh Vardhan"/>
    <x v="0"/>
    <s v="M"/>
    <x v="0"/>
    <n v="29151"/>
    <s v="20-04-2026"/>
    <x v="1"/>
  </r>
  <r>
    <s v="B175"/>
    <s v="Aisha Khan"/>
    <x v="22"/>
    <s v="F"/>
    <x v="3"/>
    <n v="71584"/>
    <s v="25-01-2026"/>
    <x v="0"/>
  </r>
  <r>
    <s v="B176"/>
    <s v="Ananya Das"/>
    <x v="23"/>
    <s v="F"/>
    <x v="5"/>
    <n v="21134"/>
    <s v="03-03-2026"/>
    <x v="1"/>
  </r>
  <r>
    <s v="B177"/>
    <s v="Sneha Patel"/>
    <x v="13"/>
    <s v="F"/>
    <x v="5"/>
    <n v="17465"/>
    <s v="30-06-2026"/>
    <x v="0"/>
  </r>
  <r>
    <s v="B178"/>
    <s v="Sneha Patel"/>
    <x v="1"/>
    <s v="F"/>
    <x v="0"/>
    <n v="33605"/>
    <s v="29-06-2026"/>
    <x v="0"/>
  </r>
  <r>
    <s v="B179"/>
    <s v="Nikhil Joshi"/>
    <x v="12"/>
    <s v="F"/>
    <x v="3"/>
    <n v="53733"/>
    <s v="22-02-2026"/>
    <x v="0"/>
  </r>
  <r>
    <s v="B180"/>
    <s v="Sneha Patel"/>
    <x v="26"/>
    <s v="M"/>
    <x v="5"/>
    <n v="20285"/>
    <s v="11-02-2026"/>
    <x v="0"/>
  </r>
  <r>
    <s v="B181"/>
    <s v="Pooja Nair"/>
    <x v="1"/>
    <s v="F"/>
    <x v="0"/>
    <n v="27845"/>
    <s v="15-01-2026"/>
    <x v="0"/>
  </r>
  <r>
    <s v="B182"/>
    <s v="Rohan Das"/>
    <x v="1"/>
    <s v="F"/>
    <x v="4"/>
    <n v="73157"/>
    <s v="17-04-2026"/>
    <x v="1"/>
  </r>
  <r>
    <s v="B183"/>
    <s v="Arjun Kumar"/>
    <x v="8"/>
    <s v="M"/>
    <x v="2"/>
    <n v="19525"/>
    <s v="04-03-2026"/>
    <x v="1"/>
  </r>
  <r>
    <s v="B184"/>
    <s v="Ananya Das"/>
    <x v="9"/>
    <s v="M"/>
    <x v="5"/>
    <n v="19082"/>
    <s v="28-06-2026"/>
    <x v="0"/>
  </r>
  <r>
    <s v="B185"/>
    <s v="Rahul Sharma"/>
    <x v="18"/>
    <s v="M"/>
    <x v="0"/>
    <n v="28266"/>
    <s v="28-06-2026"/>
    <x v="0"/>
  </r>
  <r>
    <s v="B186"/>
    <s v="Karan Mehta"/>
    <x v="28"/>
    <s v="F"/>
    <x v="5"/>
    <n v="19787"/>
    <s v="19-01-2026"/>
    <x v="0"/>
  </r>
  <r>
    <s v="B187"/>
    <s v="Priya Singh"/>
    <x v="19"/>
    <s v="M"/>
    <x v="1"/>
    <n v="27817"/>
    <s v="14-04-2026"/>
    <x v="1"/>
  </r>
  <r>
    <s v="B188"/>
    <s v="Rahul Sharma"/>
    <x v="14"/>
    <s v="M"/>
    <x v="2"/>
    <n v="15068"/>
    <s v="06-04-2026"/>
    <x v="0"/>
  </r>
  <r>
    <s v="B189"/>
    <s v="Ritika Sharma"/>
    <x v="10"/>
    <s v="F"/>
    <x v="1"/>
    <n v="18938"/>
    <s v="20-03-2026"/>
    <x v="1"/>
  </r>
  <r>
    <s v="B190"/>
    <s v="Kavya Reddy"/>
    <x v="13"/>
    <s v="F"/>
    <x v="5"/>
    <n v="19651"/>
    <s v="08-06-2026"/>
    <x v="0"/>
  </r>
  <r>
    <s v="B191"/>
    <s v="Kavya Reddy"/>
    <x v="22"/>
    <s v="M"/>
    <x v="3"/>
    <n v="70837"/>
    <s v="09-04-2026"/>
    <x v="1"/>
  </r>
  <r>
    <s v="B192"/>
    <s v="Ananya Das"/>
    <x v="16"/>
    <s v="M"/>
    <x v="0"/>
    <n v="33309"/>
    <s v="13-06-2026"/>
    <x v="0"/>
  </r>
  <r>
    <s v="B193"/>
    <s v="Nikhil Joshi"/>
    <x v="27"/>
    <s v="F"/>
    <x v="1"/>
    <n v="19949"/>
    <s v="05-01-2026"/>
    <x v="0"/>
  </r>
  <r>
    <s v="B194"/>
    <s v="Aisha Khan"/>
    <x v="26"/>
    <s v="F"/>
    <x v="4"/>
    <n v="81517"/>
    <s v="05-01-2026"/>
    <x v="0"/>
  </r>
  <r>
    <s v="B195"/>
    <s v="Karan Mehta"/>
    <x v="29"/>
    <s v="M"/>
    <x v="4"/>
    <n v="61562"/>
    <s v="28-02-2026"/>
    <x v="1"/>
  </r>
  <r>
    <s v="B196"/>
    <s v="Rohan Das"/>
    <x v="29"/>
    <s v="M"/>
    <x v="5"/>
    <n v="15703"/>
    <s v="05-03-2026"/>
    <x v="0"/>
  </r>
  <r>
    <s v="B197"/>
    <s v="Karan Mehta"/>
    <x v="1"/>
    <s v="M"/>
    <x v="5"/>
    <n v="18266"/>
    <s v="09-02-2026"/>
    <x v="0"/>
  </r>
  <r>
    <s v="B198"/>
    <s v="Karan Mehta"/>
    <x v="25"/>
    <s v="F"/>
    <x v="5"/>
    <n v="21283"/>
    <s v="22-01-2026"/>
    <x v="0"/>
  </r>
  <r>
    <s v="B199"/>
    <s v="Pooja Nair"/>
    <x v="25"/>
    <s v="M"/>
    <x v="0"/>
    <n v="37630"/>
    <s v="25-03-2026"/>
    <x v="0"/>
  </r>
  <r>
    <s v="B200"/>
    <s v="Ananya Das"/>
    <x v="26"/>
    <s v="M"/>
    <x v="1"/>
    <n v="27364"/>
    <s v="31-05-202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Karan Mehta"/>
    <n v="31"/>
    <x v="0"/>
    <s v="Kashmir"/>
    <n v="35911"/>
    <s v="20-03-2026"/>
    <s v="Confirmed"/>
    <x v="0"/>
  </r>
  <r>
    <s v="B002"/>
    <s v="Pooja Nair"/>
    <n v="30"/>
    <x v="0"/>
    <s v="Kerala"/>
    <n v="25383"/>
    <s v="27-05-2026"/>
    <s v="Cancelled"/>
    <x v="1"/>
  </r>
  <r>
    <s v="B003"/>
    <s v="Neha Gupta"/>
    <n v="47"/>
    <x v="0"/>
    <s v="Goa"/>
    <n v="20176"/>
    <s v="12-03-2026"/>
    <s v="Confirmed"/>
    <x v="2"/>
  </r>
  <r>
    <s v="B004"/>
    <s v="Rohan Das"/>
    <n v="28"/>
    <x v="0"/>
    <s v="Dubai"/>
    <n v="53100"/>
    <s v="10-01-2026"/>
    <s v="Confirmed"/>
    <x v="1"/>
  </r>
  <r>
    <s v="B005"/>
    <s v="Aisha Khan"/>
    <n v="37"/>
    <x v="0"/>
    <s v="Bali"/>
    <n v="66096"/>
    <s v="16-03-2026"/>
    <s v="Confirmed"/>
    <x v="3"/>
  </r>
  <r>
    <s v="B006"/>
    <s v="Ananya Das"/>
    <n v="37"/>
    <x v="1"/>
    <s v="Goa"/>
    <n v="18862"/>
    <s v="17-01-2026"/>
    <s v="Confirmed"/>
    <x v="3"/>
  </r>
  <r>
    <s v="B007"/>
    <s v="Nikhil Joshi"/>
    <n v="45"/>
    <x v="0"/>
    <s v="Manali"/>
    <n v="20203"/>
    <s v="12-06-2026"/>
    <s v="Confirmed"/>
    <x v="4"/>
  </r>
  <r>
    <s v="B008"/>
    <s v="Nikhil Joshi"/>
    <n v="37"/>
    <x v="1"/>
    <s v="Bali"/>
    <n v="63466"/>
    <s v="20-04-2026"/>
    <s v="Confirmed"/>
    <x v="3"/>
  </r>
  <r>
    <s v="B009"/>
    <s v="Sarthak Roy"/>
    <n v="26"/>
    <x v="0"/>
    <s v="Kerala"/>
    <n v="21132"/>
    <s v="10-05-2026"/>
    <s v="Confirmed"/>
    <x v="1"/>
  </r>
  <r>
    <s v="B010"/>
    <s v="Harsh Vardhan"/>
    <n v="35"/>
    <x v="0"/>
    <s v="Bali"/>
    <n v="83720"/>
    <s v="09-05-2026"/>
    <s v="Confirmed"/>
    <x v="0"/>
  </r>
  <r>
    <s v="B011"/>
    <s v="Vikram Rao"/>
    <n v="31"/>
    <x v="1"/>
    <s v="Manali"/>
    <n v="19702"/>
    <s v="20-05-2026"/>
    <s v="Confirmed"/>
    <x v="0"/>
  </r>
  <r>
    <s v="B012"/>
    <s v="Karan Mehta"/>
    <n v="47"/>
    <x v="0"/>
    <s v="Dubai"/>
    <n v="74661"/>
    <s v="12-04-2026"/>
    <s v="Cancelled"/>
    <x v="2"/>
  </r>
  <r>
    <s v="B013"/>
    <s v="Vikram Rao"/>
    <n v="50"/>
    <x v="0"/>
    <s v="Kashmir"/>
    <n v="30752"/>
    <s v="18-02-2026"/>
    <s v="Cancelled"/>
    <x v="2"/>
  </r>
  <r>
    <s v="B014"/>
    <s v="Sarthak Roy"/>
    <n v="35"/>
    <x v="0"/>
    <s v="Goa"/>
    <n v="14087"/>
    <s v="21-03-2026"/>
    <s v="Cancelled"/>
    <x v="0"/>
  </r>
  <r>
    <s v="B015"/>
    <s v="Pooja Nair"/>
    <n v="30"/>
    <x v="1"/>
    <s v="Kerala"/>
    <n v="22495"/>
    <s v="17-05-2026"/>
    <s v="Confirmed"/>
    <x v="1"/>
  </r>
  <r>
    <s v="B016"/>
    <s v="Meera Iyer"/>
    <n v="50"/>
    <x v="1"/>
    <s v="Kashmir"/>
    <n v="35549"/>
    <s v="21-03-2026"/>
    <s v="Confirmed"/>
    <x v="2"/>
  </r>
  <r>
    <s v="B017"/>
    <s v="Pooja Nair"/>
    <n v="23"/>
    <x v="0"/>
    <s v="Bali"/>
    <n v="77553"/>
    <s v="15-01-2026"/>
    <s v="Confirmed"/>
    <x v="5"/>
  </r>
  <r>
    <s v="B018"/>
    <s v="Rahul Sharma"/>
    <n v="40"/>
    <x v="0"/>
    <s v="Manali"/>
    <n v="24026"/>
    <s v="24-06-2026"/>
    <s v="Cancelled"/>
    <x v="3"/>
  </r>
  <r>
    <s v="B019"/>
    <s v="Sarthak Roy"/>
    <n v="36"/>
    <x v="1"/>
    <s v="Dubai"/>
    <n v="68263"/>
    <s v="04-02-2026"/>
    <s v="Cancelled"/>
    <x v="3"/>
  </r>
  <r>
    <s v="B020"/>
    <s v="Meera Iyer"/>
    <n v="38"/>
    <x v="1"/>
    <s v="Kashmir"/>
    <n v="38063"/>
    <s v="12-03-2026"/>
    <s v="Confirmed"/>
    <x v="3"/>
  </r>
  <r>
    <s v="B021"/>
    <s v="Aman Jain"/>
    <n v="37"/>
    <x v="0"/>
    <s v="Bali"/>
    <n v="76289"/>
    <s v="12-06-2026"/>
    <s v="Confirmed"/>
    <x v="3"/>
  </r>
  <r>
    <s v="B022"/>
    <s v="Ananya Das"/>
    <n v="38"/>
    <x v="1"/>
    <s v="Goa"/>
    <n v="16923"/>
    <s v="05-06-2026"/>
    <s v="Confirmed"/>
    <x v="3"/>
  </r>
  <r>
    <s v="B023"/>
    <s v="Harsh Vardhan"/>
    <n v="22"/>
    <x v="1"/>
    <s v="Kashmir"/>
    <n v="36647"/>
    <s v="04-05-2026"/>
    <s v="Confirmed"/>
    <x v="5"/>
  </r>
  <r>
    <s v="B024"/>
    <s v="Harsh Vardhan"/>
    <n v="49"/>
    <x v="0"/>
    <s v="Kashmir"/>
    <n v="27606"/>
    <s v="22-06-2026"/>
    <s v="Confirmed"/>
    <x v="2"/>
  </r>
  <r>
    <s v="B025"/>
    <s v="Ritika Sharma"/>
    <n v="33"/>
    <x v="1"/>
    <s v="Goa"/>
    <n v="21394"/>
    <s v="10-01-2026"/>
    <s v="Confirmed"/>
    <x v="0"/>
  </r>
  <r>
    <s v="B026"/>
    <s v="Ritika Sharma"/>
    <n v="43"/>
    <x v="1"/>
    <s v="Dubai"/>
    <n v="54115"/>
    <s v="08-05-2026"/>
    <s v="Cancelled"/>
    <x v="4"/>
  </r>
  <r>
    <s v="B027"/>
    <s v="Rohan Das"/>
    <n v="29"/>
    <x v="0"/>
    <s v="Goa"/>
    <n v="18362"/>
    <s v="19-02-2026"/>
    <s v="Confirmed"/>
    <x v="1"/>
  </r>
  <r>
    <s v="B028"/>
    <s v="Rohan Das"/>
    <n v="44"/>
    <x v="1"/>
    <s v="Bali"/>
    <n v="83794"/>
    <s v="13-03-2026"/>
    <s v="Confirmed"/>
    <x v="4"/>
  </r>
  <r>
    <s v="B029"/>
    <s v="Rahul Sharma"/>
    <n v="35"/>
    <x v="1"/>
    <s v="Bali"/>
    <n v="65602"/>
    <s v="19-05-2026"/>
    <s v="Confirmed"/>
    <x v="0"/>
  </r>
  <r>
    <s v="B030"/>
    <s v="Yash Gupta"/>
    <n v="23"/>
    <x v="0"/>
    <s v="Kashmir"/>
    <n v="34041"/>
    <s v="06-03-2026"/>
    <s v="Confirmed"/>
    <x v="5"/>
  </r>
  <r>
    <s v="B031"/>
    <s v="Rahul Sharma"/>
    <n v="24"/>
    <x v="0"/>
    <s v="Goa"/>
    <n v="18636"/>
    <s v="12-05-2026"/>
    <s v="Confirmed"/>
    <x v="5"/>
  </r>
  <r>
    <s v="B032"/>
    <s v="Sarthak Roy"/>
    <n v="28"/>
    <x v="0"/>
    <s v="Kashmir"/>
    <n v="32850"/>
    <s v="27-06-2026"/>
    <s v="Confirmed"/>
    <x v="1"/>
  </r>
  <r>
    <s v="B033"/>
    <s v="Priya Singh"/>
    <n v="26"/>
    <x v="0"/>
    <s v="Kerala"/>
    <n v="20727"/>
    <s v="17-03-2026"/>
    <s v="Confirmed"/>
    <x v="1"/>
  </r>
  <r>
    <s v="B034"/>
    <s v="Sarthak Roy"/>
    <n v="50"/>
    <x v="0"/>
    <s v="Goa"/>
    <n v="17254"/>
    <s v="28-04-2026"/>
    <s v="Confirmed"/>
    <x v="2"/>
  </r>
  <r>
    <s v="B035"/>
    <s v="Arjun Kumar"/>
    <n v="34"/>
    <x v="1"/>
    <s v="Manali"/>
    <n v="16601"/>
    <s v="31-01-2026"/>
    <s v="Confirmed"/>
    <x v="0"/>
  </r>
  <r>
    <s v="B036"/>
    <s v="Aman Jain"/>
    <n v="28"/>
    <x v="0"/>
    <s v="Kashmir"/>
    <n v="34511"/>
    <s v="28-02-2026"/>
    <s v="Confirmed"/>
    <x v="1"/>
  </r>
  <r>
    <s v="B037"/>
    <s v="Rohan Das"/>
    <n v="27"/>
    <x v="1"/>
    <s v="Dubai"/>
    <n v="72618"/>
    <s v="08-01-2026"/>
    <s v="Confirmed"/>
    <x v="1"/>
  </r>
  <r>
    <s v="B038"/>
    <s v="Rahul Sharma"/>
    <n v="25"/>
    <x v="0"/>
    <s v="Kashmir"/>
    <n v="26325"/>
    <s v="13-05-2026"/>
    <s v="Confirmed"/>
    <x v="5"/>
  </r>
  <r>
    <s v="B039"/>
    <s v="Nikhil Joshi"/>
    <n v="44"/>
    <x v="0"/>
    <s v="Goa"/>
    <n v="17651"/>
    <s v="22-02-2026"/>
    <s v="Confirmed"/>
    <x v="4"/>
  </r>
  <r>
    <s v="B040"/>
    <s v="Aditya Verma"/>
    <n v="33"/>
    <x v="0"/>
    <s v="Goa"/>
    <n v="19378"/>
    <s v="20-04-2026"/>
    <s v="Confirmed"/>
    <x v="0"/>
  </r>
  <r>
    <s v="B041"/>
    <s v="Yash Gupta"/>
    <n v="37"/>
    <x v="1"/>
    <s v="Dubai"/>
    <n v="53612"/>
    <s v="04-03-2026"/>
    <s v="Confirmed"/>
    <x v="3"/>
  </r>
  <r>
    <s v="B042"/>
    <s v="Sarthak Roy"/>
    <n v="31"/>
    <x v="1"/>
    <s v="Dubai"/>
    <n v="59321"/>
    <s v="02-06-2026"/>
    <s v="Confirmed"/>
    <x v="0"/>
  </r>
  <r>
    <s v="B043"/>
    <s v="Ananya Das"/>
    <n v="21"/>
    <x v="0"/>
    <s v="Manali"/>
    <n v="21669"/>
    <s v="05-05-2026"/>
    <s v="Confirmed"/>
    <x v="5"/>
  </r>
  <r>
    <s v="B044"/>
    <s v="Vikram Rao"/>
    <n v="31"/>
    <x v="1"/>
    <s v="Bali"/>
    <n v="63695"/>
    <s v="18-02-2026"/>
    <s v="Confirmed"/>
    <x v="0"/>
  </r>
  <r>
    <s v="B045"/>
    <s v="Meera Iyer"/>
    <n v="47"/>
    <x v="0"/>
    <s v="Goa"/>
    <n v="16137"/>
    <s v="28-04-2026"/>
    <s v="Confirmed"/>
    <x v="2"/>
  </r>
  <r>
    <s v="B046"/>
    <s v="Sneha Patel"/>
    <n v="48"/>
    <x v="1"/>
    <s v="Kashmir"/>
    <n v="26581"/>
    <s v="16-04-2026"/>
    <s v="Confirmed"/>
    <x v="2"/>
  </r>
  <r>
    <s v="B047"/>
    <s v="Ananya Das"/>
    <n v="40"/>
    <x v="1"/>
    <s v="Kerala"/>
    <n v="19510"/>
    <s v="19-01-2026"/>
    <s v="Cancelled"/>
    <x v="3"/>
  </r>
  <r>
    <s v="B048"/>
    <s v="Kavya Reddy"/>
    <n v="45"/>
    <x v="1"/>
    <s v="Goa"/>
    <n v="18575"/>
    <s v="29-01-2026"/>
    <s v="Cancelled"/>
    <x v="4"/>
  </r>
  <r>
    <s v="B049"/>
    <s v="Kavya Reddy"/>
    <n v="27"/>
    <x v="1"/>
    <s v="Kashmir"/>
    <n v="29381"/>
    <s v="08-02-2026"/>
    <s v="Confirmed"/>
    <x v="1"/>
  </r>
  <r>
    <s v="B050"/>
    <s v="Meera Iyer"/>
    <n v="34"/>
    <x v="0"/>
    <s v="Manali"/>
    <n v="24065"/>
    <s v="02-02-2026"/>
    <s v="Cancelled"/>
    <x v="0"/>
  </r>
  <r>
    <s v="B051"/>
    <s v="Nikhil Joshi"/>
    <n v="43"/>
    <x v="1"/>
    <s v="Goa"/>
    <n v="18884"/>
    <s v="10-06-2026"/>
    <s v="Confirmed"/>
    <x v="4"/>
  </r>
  <r>
    <s v="B052"/>
    <s v="Karan Mehta"/>
    <n v="45"/>
    <x v="0"/>
    <s v="Goa"/>
    <n v="17525"/>
    <s v="16-02-2026"/>
    <s v="Confirmed"/>
    <x v="4"/>
  </r>
  <r>
    <s v="B053"/>
    <s v="Kavya Reddy"/>
    <n v="39"/>
    <x v="1"/>
    <s v="Manali"/>
    <n v="23867"/>
    <s v="25-02-2026"/>
    <s v="Confirmed"/>
    <x v="3"/>
  </r>
  <r>
    <s v="B054"/>
    <s v="Arjun Kumar"/>
    <n v="21"/>
    <x v="1"/>
    <s v="Kashmir"/>
    <n v="32638"/>
    <s v="01-03-2026"/>
    <s v="Confirmed"/>
    <x v="5"/>
  </r>
  <r>
    <s v="B055"/>
    <s v="Ritika Sharma"/>
    <n v="21"/>
    <x v="0"/>
    <s v="Manali"/>
    <n v="24707"/>
    <s v="06-03-2026"/>
    <s v="Confirmed"/>
    <x v="5"/>
  </r>
  <r>
    <s v="B056"/>
    <s v="Arjun Kumar"/>
    <n v="22"/>
    <x v="1"/>
    <s v="Kashmir"/>
    <n v="30819"/>
    <s v="14-02-2026"/>
    <s v="Confirmed"/>
    <x v="5"/>
  </r>
  <r>
    <s v="B057"/>
    <s v="Rahul Sharma"/>
    <n v="47"/>
    <x v="0"/>
    <s v="Kerala"/>
    <n v="26550"/>
    <s v="27-06-2026"/>
    <s v="Cancelled"/>
    <x v="2"/>
  </r>
  <r>
    <s v="B058"/>
    <s v="Ananya Das"/>
    <n v="24"/>
    <x v="1"/>
    <s v="Dubai"/>
    <n v="71391"/>
    <s v="06-06-2026"/>
    <s v="Cancelled"/>
    <x v="5"/>
  </r>
  <r>
    <s v="B059"/>
    <s v="Sneha Patel"/>
    <n v="42"/>
    <x v="0"/>
    <s v="Kashmir"/>
    <n v="35668"/>
    <s v="31-01-2026"/>
    <s v="Confirmed"/>
    <x v="4"/>
  </r>
  <r>
    <s v="B060"/>
    <s v="Meera Iyer"/>
    <n v="35"/>
    <x v="1"/>
    <s v="Goa"/>
    <n v="20712"/>
    <s v="23-01-2026"/>
    <s v="Confirmed"/>
    <x v="0"/>
  </r>
  <r>
    <s v="B061"/>
    <s v="Yash Gupta"/>
    <n v="40"/>
    <x v="1"/>
    <s v="Bali"/>
    <n v="76031"/>
    <s v="27-02-2026"/>
    <s v="Confirmed"/>
    <x v="3"/>
  </r>
  <r>
    <s v="B062"/>
    <s v="Meera Iyer"/>
    <n v="49"/>
    <x v="0"/>
    <s v="Goa"/>
    <n v="18174"/>
    <s v="01-01-2026"/>
    <s v="Confirmed"/>
    <x v="2"/>
  </r>
  <r>
    <s v="B063"/>
    <s v="Aditya Verma"/>
    <n v="30"/>
    <x v="0"/>
    <s v="Goa"/>
    <n v="16020"/>
    <s v="07-01-2026"/>
    <s v="Confirmed"/>
    <x v="1"/>
  </r>
  <r>
    <s v="B064"/>
    <s v="Kavya Reddy"/>
    <n v="25"/>
    <x v="1"/>
    <s v="Dubai"/>
    <n v="52388"/>
    <s v="20-04-2026"/>
    <s v="Confirmed"/>
    <x v="5"/>
  </r>
  <r>
    <s v="B065"/>
    <s v="Aman Jain"/>
    <n v="22"/>
    <x v="1"/>
    <s v="Kerala"/>
    <n v="24710"/>
    <s v="01-06-2026"/>
    <s v="Confirmed"/>
    <x v="5"/>
  </r>
  <r>
    <s v="B066"/>
    <s v="Rohan Das"/>
    <n v="40"/>
    <x v="1"/>
    <s v="Goa"/>
    <n v="17201"/>
    <s v="18-01-2026"/>
    <s v="Confirmed"/>
    <x v="3"/>
  </r>
  <r>
    <s v="B067"/>
    <s v="Sarthak Roy"/>
    <n v="28"/>
    <x v="0"/>
    <s v="Kashmir"/>
    <n v="35215"/>
    <s v="16-01-2026"/>
    <s v="Cancelled"/>
    <x v="1"/>
  </r>
  <r>
    <s v="B068"/>
    <s v="Aman Jain"/>
    <n v="38"/>
    <x v="1"/>
    <s v="Goa"/>
    <n v="17216"/>
    <s v="14-01-2026"/>
    <s v="Confirmed"/>
    <x v="3"/>
  </r>
  <r>
    <s v="B069"/>
    <s v="Aman Jain"/>
    <n v="32"/>
    <x v="1"/>
    <s v="Goa"/>
    <n v="19928"/>
    <s v="25-01-2026"/>
    <s v="Confirmed"/>
    <x v="0"/>
  </r>
  <r>
    <s v="B070"/>
    <s v="Karan Mehta"/>
    <n v="23"/>
    <x v="1"/>
    <s v="Kerala"/>
    <n v="23528"/>
    <s v="09-04-2026"/>
    <s v="Confirmed"/>
    <x v="5"/>
  </r>
  <r>
    <s v="B071"/>
    <s v="Aman Jain"/>
    <n v="38"/>
    <x v="0"/>
    <s v="Dubai"/>
    <n v="60881"/>
    <s v="15-01-2026"/>
    <s v="Confirmed"/>
    <x v="3"/>
  </r>
  <r>
    <s v="B072"/>
    <s v="Aditya Verma"/>
    <n v="47"/>
    <x v="1"/>
    <s v="Manali"/>
    <n v="19679"/>
    <s v="14-02-2026"/>
    <s v="Cancelled"/>
    <x v="2"/>
  </r>
  <r>
    <s v="B073"/>
    <s v="Yash Gupta"/>
    <n v="47"/>
    <x v="1"/>
    <s v="Kashmir"/>
    <n v="27720"/>
    <s v="28-06-2026"/>
    <s v="Confirmed"/>
    <x v="2"/>
  </r>
  <r>
    <s v="B074"/>
    <s v="Rohan Das"/>
    <n v="35"/>
    <x v="1"/>
    <s v="Dubai"/>
    <n v="70814"/>
    <s v="14-02-2026"/>
    <s v="Confirmed"/>
    <x v="0"/>
  </r>
  <r>
    <s v="B075"/>
    <s v="Karan Mehta"/>
    <n v="40"/>
    <x v="0"/>
    <s v="Dubai"/>
    <n v="55709"/>
    <s v="16-02-2026"/>
    <s v="Confirmed"/>
    <x v="3"/>
  </r>
  <r>
    <s v="B076"/>
    <s v="Vikram Rao"/>
    <n v="42"/>
    <x v="1"/>
    <s v="Kashmir"/>
    <n v="26722"/>
    <s v="08-02-2026"/>
    <s v="Confirmed"/>
    <x v="4"/>
  </r>
  <r>
    <s v="B077"/>
    <s v="Priya Singh"/>
    <n v="39"/>
    <x v="1"/>
    <s v="Bali"/>
    <n v="57093"/>
    <s v="13-04-2026"/>
    <s v="Confirmed"/>
    <x v="3"/>
  </r>
  <r>
    <s v="B078"/>
    <s v="Ananya Das"/>
    <n v="33"/>
    <x v="0"/>
    <s v="Dubai"/>
    <n v="59865"/>
    <s v="27-01-2026"/>
    <s v="Confirmed"/>
    <x v="0"/>
  </r>
  <r>
    <s v="B079"/>
    <s v="Kavya Reddy"/>
    <n v="36"/>
    <x v="0"/>
    <s v="Kashmir"/>
    <n v="35286"/>
    <s v="20-05-2026"/>
    <s v="Cancelled"/>
    <x v="3"/>
  </r>
  <r>
    <s v="B080"/>
    <s v="Pooja Nair"/>
    <n v="29"/>
    <x v="1"/>
    <s v="Dubai"/>
    <n v="55197"/>
    <s v="12-03-2026"/>
    <s v="Confirmed"/>
    <x v="1"/>
  </r>
  <r>
    <s v="B081"/>
    <s v="Ananya Das"/>
    <n v="49"/>
    <x v="0"/>
    <s v="Kashmir"/>
    <n v="29119"/>
    <s v="16-03-2026"/>
    <s v="Confirmed"/>
    <x v="2"/>
  </r>
  <r>
    <s v="B082"/>
    <s v="Meera Iyer"/>
    <n v="30"/>
    <x v="0"/>
    <s v="Dubai"/>
    <n v="53720"/>
    <s v="21-05-2026"/>
    <s v="Cancelled"/>
    <x v="1"/>
  </r>
  <r>
    <s v="B083"/>
    <s v="Vikram Rao"/>
    <n v="40"/>
    <x v="1"/>
    <s v="Kerala"/>
    <n v="24258"/>
    <s v="24-03-2026"/>
    <s v="Confirmed"/>
    <x v="3"/>
  </r>
  <r>
    <s v="B084"/>
    <s v="Rohan Das"/>
    <n v="33"/>
    <x v="0"/>
    <s v="Bali"/>
    <n v="58107"/>
    <s v="03-04-2026"/>
    <s v="Cancelled"/>
    <x v="0"/>
  </r>
  <r>
    <s v="B085"/>
    <s v="Ritika Sharma"/>
    <n v="33"/>
    <x v="0"/>
    <s v="Bali"/>
    <n v="57004"/>
    <s v="29-06-2026"/>
    <s v="Confirmed"/>
    <x v="0"/>
  </r>
  <r>
    <s v="B086"/>
    <s v="Arjun Kumar"/>
    <n v="42"/>
    <x v="1"/>
    <s v="Goa"/>
    <n v="15429"/>
    <s v="28-04-2026"/>
    <s v="Confirmed"/>
    <x v="4"/>
  </r>
  <r>
    <s v="B087"/>
    <s v="Sarthak Roy"/>
    <n v="39"/>
    <x v="0"/>
    <s v="Bali"/>
    <n v="57750"/>
    <s v="19-03-2026"/>
    <s v="Confirmed"/>
    <x v="3"/>
  </r>
  <r>
    <s v="B088"/>
    <s v="Kavya Reddy"/>
    <n v="24"/>
    <x v="1"/>
    <s v="Dubai"/>
    <n v="66673"/>
    <s v="30-05-2026"/>
    <s v="Confirmed"/>
    <x v="5"/>
  </r>
  <r>
    <s v="B089"/>
    <s v="Vikram Rao"/>
    <n v="47"/>
    <x v="1"/>
    <s v="Goa"/>
    <n v="21880"/>
    <s v="03-04-2026"/>
    <s v="Confirmed"/>
    <x v="2"/>
  </r>
  <r>
    <s v="B090"/>
    <s v="Sarthak Roy"/>
    <n v="37"/>
    <x v="1"/>
    <s v="Manali"/>
    <n v="23099"/>
    <s v="24-04-2026"/>
    <s v="Confirmed"/>
    <x v="3"/>
  </r>
  <r>
    <s v="B091"/>
    <s v="Pooja Nair"/>
    <n v="49"/>
    <x v="1"/>
    <s v="Kashmir"/>
    <n v="25469"/>
    <s v="07-01-2026"/>
    <s v="Confirmed"/>
    <x v="2"/>
  </r>
  <r>
    <s v="B092"/>
    <s v="Neha Gupta"/>
    <n v="50"/>
    <x v="1"/>
    <s v="Bali"/>
    <n v="65510"/>
    <s v="07-05-2026"/>
    <s v="Confirmed"/>
    <x v="2"/>
  </r>
  <r>
    <s v="B093"/>
    <s v="Sarthak Roy"/>
    <n v="45"/>
    <x v="1"/>
    <s v="Manali"/>
    <n v="21509"/>
    <s v="04-05-2026"/>
    <s v="Confirmed"/>
    <x v="4"/>
  </r>
  <r>
    <s v="B094"/>
    <s v="Yash Gupta"/>
    <n v="43"/>
    <x v="0"/>
    <s v="Kashmir"/>
    <n v="38662"/>
    <s v="11-05-2026"/>
    <s v="Cancelled"/>
    <x v="4"/>
  </r>
  <r>
    <s v="B095"/>
    <s v="Rahul Sharma"/>
    <n v="24"/>
    <x v="0"/>
    <s v="Dubai"/>
    <n v="53874"/>
    <s v="16-04-2026"/>
    <s v="Cancelled"/>
    <x v="5"/>
  </r>
  <r>
    <s v="B096"/>
    <s v="Yash Gupta"/>
    <n v="25"/>
    <x v="0"/>
    <s v="Bali"/>
    <n v="67948"/>
    <s v="23-04-2026"/>
    <s v="Confirmed"/>
    <x v="5"/>
  </r>
  <r>
    <s v="B097"/>
    <s v="Rohan Das"/>
    <n v="39"/>
    <x v="0"/>
    <s v="Kerala"/>
    <n v="18926"/>
    <s v="02-05-2026"/>
    <s v="Confirmed"/>
    <x v="3"/>
  </r>
  <r>
    <s v="B098"/>
    <s v="Aditya Verma"/>
    <n v="24"/>
    <x v="0"/>
    <s v="Manali"/>
    <n v="22891"/>
    <s v="19-02-2026"/>
    <s v="Cancelled"/>
    <x v="5"/>
  </r>
  <r>
    <s v="B099"/>
    <s v="Pooja Nair"/>
    <n v="44"/>
    <x v="1"/>
    <s v="Manali"/>
    <n v="21644"/>
    <s v="05-02-2026"/>
    <s v="Confirmed"/>
    <x v="4"/>
  </r>
  <r>
    <s v="B100"/>
    <s v="Rahul Sharma"/>
    <n v="23"/>
    <x v="1"/>
    <s v="Dubai"/>
    <n v="69832"/>
    <s v="09-01-2026"/>
    <s v="Cancelled"/>
    <x v="5"/>
  </r>
  <r>
    <s v="B101"/>
    <s v="Pooja Nair"/>
    <n v="38"/>
    <x v="0"/>
    <s v="Dubai"/>
    <n v="57289"/>
    <s v="19-01-2026"/>
    <s v="Confirmed"/>
    <x v="3"/>
  </r>
  <r>
    <s v="B102"/>
    <s v="Vikram Rao"/>
    <n v="22"/>
    <x v="1"/>
    <s v="Bali"/>
    <n v="64772"/>
    <s v="05-04-2026"/>
    <s v="Cancelled"/>
    <x v="5"/>
  </r>
  <r>
    <s v="B103"/>
    <s v="Sarthak Roy"/>
    <n v="37"/>
    <x v="0"/>
    <s v="Kerala"/>
    <n v="19759"/>
    <s v="01-05-2026"/>
    <s v="Confirmed"/>
    <x v="3"/>
  </r>
  <r>
    <s v="B104"/>
    <s v="Priya Singh"/>
    <n v="24"/>
    <x v="0"/>
    <s v="Dubai"/>
    <n v="60115"/>
    <s v="20-01-2026"/>
    <s v="Confirmed"/>
    <x v="5"/>
  </r>
  <r>
    <s v="B105"/>
    <s v="Aisha Khan"/>
    <n v="24"/>
    <x v="0"/>
    <s v="Manali"/>
    <n v="20799"/>
    <s v="28-04-2026"/>
    <s v="Confirmed"/>
    <x v="5"/>
  </r>
  <r>
    <s v="B106"/>
    <s v="Neha Gupta"/>
    <n v="23"/>
    <x v="0"/>
    <s v="Dubai"/>
    <n v="51601"/>
    <s v="16-06-2026"/>
    <s v="Confirmed"/>
    <x v="5"/>
  </r>
  <r>
    <s v="B107"/>
    <s v="Kavya Reddy"/>
    <n v="44"/>
    <x v="1"/>
    <s v="Manali"/>
    <n v="15325"/>
    <s v="19-06-2026"/>
    <s v="Confirmed"/>
    <x v="4"/>
  </r>
  <r>
    <s v="B108"/>
    <s v="Meera Iyer"/>
    <n v="24"/>
    <x v="0"/>
    <s v="Dubai"/>
    <n v="51352"/>
    <s v="14-03-2026"/>
    <s v="Cancelled"/>
    <x v="5"/>
  </r>
  <r>
    <s v="B109"/>
    <s v="Ananya Das"/>
    <n v="42"/>
    <x v="1"/>
    <s v="Goa"/>
    <n v="21453"/>
    <s v="11-05-2026"/>
    <s v="Confirmed"/>
    <x v="4"/>
  </r>
  <r>
    <s v="B110"/>
    <s v="Vikram Rao"/>
    <n v="43"/>
    <x v="1"/>
    <s v="Kashmir"/>
    <n v="26490"/>
    <s v="27-01-2026"/>
    <s v="Confirmed"/>
    <x v="4"/>
  </r>
  <r>
    <s v="B111"/>
    <s v="Sneha Patel"/>
    <n v="34"/>
    <x v="0"/>
    <s v="Manali"/>
    <n v="19272"/>
    <s v="05-03-2026"/>
    <s v="Cancelled"/>
    <x v="0"/>
  </r>
  <r>
    <s v="B112"/>
    <s v="Priya Singh"/>
    <n v="39"/>
    <x v="1"/>
    <s v="Dubai"/>
    <n v="71265"/>
    <s v="28-02-2026"/>
    <s v="Cancelled"/>
    <x v="3"/>
  </r>
  <r>
    <s v="B113"/>
    <s v="Arjun Kumar"/>
    <n v="41"/>
    <x v="0"/>
    <s v="Bali"/>
    <n v="56123"/>
    <s v="12-06-2026"/>
    <s v="Confirmed"/>
    <x v="4"/>
  </r>
  <r>
    <s v="B114"/>
    <s v="Ritika Sharma"/>
    <n v="44"/>
    <x v="1"/>
    <s v="Goa"/>
    <n v="20285"/>
    <s v="10-04-2026"/>
    <s v="Confirmed"/>
    <x v="4"/>
  </r>
  <r>
    <s v="B115"/>
    <s v="Meera Iyer"/>
    <n v="37"/>
    <x v="0"/>
    <s v="Manali"/>
    <n v="19396"/>
    <s v="09-06-2026"/>
    <s v="Cancelled"/>
    <x v="3"/>
  </r>
  <r>
    <s v="B116"/>
    <s v="Karan Mehta"/>
    <n v="42"/>
    <x v="0"/>
    <s v="Manali"/>
    <n v="16817"/>
    <s v="06-01-2026"/>
    <s v="Cancelled"/>
    <x v="4"/>
  </r>
  <r>
    <s v="B117"/>
    <s v="Aman Jain"/>
    <n v="25"/>
    <x v="0"/>
    <s v="Dubai"/>
    <n v="56948"/>
    <s v="12-02-2026"/>
    <s v="Cancelled"/>
    <x v="5"/>
  </r>
  <r>
    <s v="B118"/>
    <s v="Sneha Patel"/>
    <n v="36"/>
    <x v="1"/>
    <s v="Dubai"/>
    <n v="64851"/>
    <s v="21-02-2026"/>
    <s v="Cancelled"/>
    <x v="3"/>
  </r>
  <r>
    <s v="B119"/>
    <s v="Neha Gupta"/>
    <n v="24"/>
    <x v="1"/>
    <s v="Manali"/>
    <n v="23320"/>
    <s v="03-05-2026"/>
    <s v="Confirmed"/>
    <x v="5"/>
  </r>
  <r>
    <s v="B120"/>
    <s v="Pooja Nair"/>
    <n v="41"/>
    <x v="0"/>
    <s v="Kerala"/>
    <n v="21139"/>
    <s v="17-05-2026"/>
    <s v="Confirmed"/>
    <x v="4"/>
  </r>
  <r>
    <s v="B121"/>
    <s v="Ritika Sharma"/>
    <n v="30"/>
    <x v="1"/>
    <s v="Manali"/>
    <n v="19819"/>
    <s v="24-01-2026"/>
    <s v="Confirmed"/>
    <x v="1"/>
  </r>
  <r>
    <s v="B122"/>
    <s v="Pooja Nair"/>
    <n v="47"/>
    <x v="0"/>
    <s v="Kerala"/>
    <n v="22925"/>
    <s v="11-04-2026"/>
    <s v="Cancelled"/>
    <x v="2"/>
  </r>
  <r>
    <s v="B123"/>
    <s v="Sneha Patel"/>
    <n v="38"/>
    <x v="0"/>
    <s v="Bali"/>
    <n v="83411"/>
    <s v="01-02-2026"/>
    <s v="Confirmed"/>
    <x v="3"/>
  </r>
  <r>
    <s v="B124"/>
    <s v="Pooja Nair"/>
    <n v="35"/>
    <x v="0"/>
    <s v="Goa"/>
    <n v="18249"/>
    <s v="16-04-2026"/>
    <s v="Confirmed"/>
    <x v="0"/>
  </r>
  <r>
    <s v="B125"/>
    <s v="Aman Jain"/>
    <n v="50"/>
    <x v="1"/>
    <s v="Dubai"/>
    <n v="50046"/>
    <s v="11-04-2026"/>
    <s v="Confirmed"/>
    <x v="2"/>
  </r>
  <r>
    <s v="B126"/>
    <s v="Aman Jain"/>
    <n v="45"/>
    <x v="1"/>
    <s v="Bali"/>
    <n v="78802"/>
    <s v="26-02-2026"/>
    <s v="Confirmed"/>
    <x v="4"/>
  </r>
  <r>
    <s v="B127"/>
    <s v="Karan Mehta"/>
    <n v="37"/>
    <x v="1"/>
    <s v="Dubai"/>
    <n v="59638"/>
    <s v="10-04-2026"/>
    <s v="Cancelled"/>
    <x v="3"/>
  </r>
  <r>
    <s v="B128"/>
    <s v="Harsh Vardhan"/>
    <n v="26"/>
    <x v="1"/>
    <s v="Bali"/>
    <n v="70078"/>
    <s v="02-04-2026"/>
    <s v="Confirmed"/>
    <x v="1"/>
  </r>
  <r>
    <s v="B129"/>
    <s v="Ritika Sharma"/>
    <n v="33"/>
    <x v="0"/>
    <s v="Manali"/>
    <n v="18881"/>
    <s v="27-06-2026"/>
    <s v="Confirmed"/>
    <x v="0"/>
  </r>
  <r>
    <s v="B130"/>
    <s v="Aman Jain"/>
    <n v="30"/>
    <x v="0"/>
    <s v="Kerala"/>
    <n v="27543"/>
    <s v="06-03-2026"/>
    <s v="Cancelled"/>
    <x v="1"/>
  </r>
  <r>
    <s v="B131"/>
    <s v="Aman Jain"/>
    <n v="45"/>
    <x v="0"/>
    <s v="Dubai"/>
    <n v="62806"/>
    <s v="07-03-2026"/>
    <s v="Cancelled"/>
    <x v="4"/>
  </r>
  <r>
    <s v="B132"/>
    <s v="Pooja Nair"/>
    <n v="22"/>
    <x v="1"/>
    <s v="Dubai"/>
    <n v="64562"/>
    <s v="16-05-2026"/>
    <s v="Confirmed"/>
    <x v="5"/>
  </r>
  <r>
    <s v="B133"/>
    <s v="Kavya Reddy"/>
    <n v="41"/>
    <x v="0"/>
    <s v="Bali"/>
    <n v="61693"/>
    <s v="19-04-2026"/>
    <s v="Confirmed"/>
    <x v="4"/>
  </r>
  <r>
    <s v="B134"/>
    <s v="Priya Singh"/>
    <n v="40"/>
    <x v="0"/>
    <s v="Kashmir"/>
    <n v="39546"/>
    <s v="19-06-2026"/>
    <s v="Confirmed"/>
    <x v="3"/>
  </r>
  <r>
    <s v="B135"/>
    <s v="Aditya Verma"/>
    <n v="33"/>
    <x v="0"/>
    <s v="Dubai"/>
    <n v="52169"/>
    <s v="29-06-2026"/>
    <s v="Confirmed"/>
    <x v="0"/>
  </r>
  <r>
    <s v="B136"/>
    <s v="Aditya Verma"/>
    <n v="34"/>
    <x v="0"/>
    <s v="Bali"/>
    <n v="82570"/>
    <s v="06-02-2026"/>
    <s v="Confirmed"/>
    <x v="0"/>
  </r>
  <r>
    <s v="B137"/>
    <s v="Ananya Das"/>
    <n v="34"/>
    <x v="1"/>
    <s v="Dubai"/>
    <n v="71892"/>
    <s v="03-05-2026"/>
    <s v="Confirmed"/>
    <x v="0"/>
  </r>
  <r>
    <s v="B138"/>
    <s v="Meera Iyer"/>
    <n v="23"/>
    <x v="1"/>
    <s v="Goa"/>
    <n v="18181"/>
    <s v="05-02-2026"/>
    <s v="Confirmed"/>
    <x v="5"/>
  </r>
  <r>
    <s v="B139"/>
    <s v="Kavya Reddy"/>
    <n v="25"/>
    <x v="1"/>
    <s v="Dubai"/>
    <n v="55989"/>
    <s v="03-02-2026"/>
    <s v="Cancelled"/>
    <x v="5"/>
  </r>
  <r>
    <s v="B140"/>
    <s v="Meera Iyer"/>
    <n v="24"/>
    <x v="0"/>
    <s v="Kashmir"/>
    <n v="34107"/>
    <s v="26-04-2026"/>
    <s v="Confirmed"/>
    <x v="5"/>
  </r>
  <r>
    <s v="B141"/>
    <s v="Aditya Verma"/>
    <n v="37"/>
    <x v="1"/>
    <s v="Kerala"/>
    <n v="20777"/>
    <s v="05-04-2026"/>
    <s v="Confirmed"/>
    <x v="3"/>
  </r>
  <r>
    <s v="B142"/>
    <s v="Kavya Reddy"/>
    <n v="30"/>
    <x v="1"/>
    <s v="Manali"/>
    <n v="19897"/>
    <s v="29-01-2026"/>
    <s v="Confirmed"/>
    <x v="1"/>
  </r>
  <r>
    <s v="B143"/>
    <s v="Nikhil Joshi"/>
    <n v="39"/>
    <x v="0"/>
    <s v="Manali"/>
    <n v="24132"/>
    <s v="03-05-2026"/>
    <s v="Confirmed"/>
    <x v="3"/>
  </r>
  <r>
    <s v="B144"/>
    <s v="Sarthak Roy"/>
    <n v="36"/>
    <x v="1"/>
    <s v="Dubai"/>
    <n v="50468"/>
    <s v="28-02-2026"/>
    <s v="Confirmed"/>
    <x v="3"/>
  </r>
  <r>
    <s v="B145"/>
    <s v="Ananya Das"/>
    <n v="50"/>
    <x v="0"/>
    <s v="Goa"/>
    <n v="19315"/>
    <s v="19-03-2026"/>
    <s v="Confirmed"/>
    <x v="2"/>
  </r>
  <r>
    <s v="B146"/>
    <s v="Aditya Verma"/>
    <n v="29"/>
    <x v="0"/>
    <s v="Dubai"/>
    <n v="59349"/>
    <s v="04-01-2026"/>
    <s v="Confirmed"/>
    <x v="1"/>
  </r>
  <r>
    <s v="B147"/>
    <s v="Harsh Vardhan"/>
    <n v="22"/>
    <x v="0"/>
    <s v="Goa"/>
    <n v="14368"/>
    <s v="13-03-2026"/>
    <s v="Confirmed"/>
    <x v="5"/>
  </r>
  <r>
    <s v="B148"/>
    <s v="Harsh Vardhan"/>
    <n v="35"/>
    <x v="0"/>
    <s v="Bali"/>
    <n v="67938"/>
    <s v="26-06-2026"/>
    <s v="Confirmed"/>
    <x v="0"/>
  </r>
  <r>
    <s v="B149"/>
    <s v="Sneha Patel"/>
    <n v="37"/>
    <x v="0"/>
    <s v="Kerala"/>
    <n v="18361"/>
    <s v="11-02-2026"/>
    <s v="Confirmed"/>
    <x v="3"/>
  </r>
  <r>
    <s v="B150"/>
    <s v="Arjun Kumar"/>
    <n v="33"/>
    <x v="0"/>
    <s v="Kashmir"/>
    <n v="38962"/>
    <s v="05-04-2026"/>
    <s v="Confirmed"/>
    <x v="0"/>
  </r>
  <r>
    <s v="B151"/>
    <s v="Sarthak Roy"/>
    <n v="23"/>
    <x v="0"/>
    <s v="Dubai"/>
    <n v="74134"/>
    <s v="16-02-2026"/>
    <s v="Confirmed"/>
    <x v="5"/>
  </r>
  <r>
    <s v="B152"/>
    <s v="Rahul Sharma"/>
    <n v="31"/>
    <x v="1"/>
    <s v="Dubai"/>
    <n v="58267"/>
    <s v="13-06-2026"/>
    <s v="Confirmed"/>
    <x v="0"/>
  </r>
  <r>
    <s v="B153"/>
    <s v="Sarthak Roy"/>
    <n v="30"/>
    <x v="0"/>
    <s v="Manali"/>
    <n v="24514"/>
    <s v="24-05-2026"/>
    <s v="Confirmed"/>
    <x v="1"/>
  </r>
  <r>
    <s v="B154"/>
    <s v="Nikhil Joshi"/>
    <n v="26"/>
    <x v="0"/>
    <s v="Kashmir"/>
    <n v="32496"/>
    <s v="02-04-2026"/>
    <s v="Confirmed"/>
    <x v="1"/>
  </r>
  <r>
    <s v="B155"/>
    <s v="Vikram Rao"/>
    <n v="33"/>
    <x v="0"/>
    <s v="Manali"/>
    <n v="15864"/>
    <s v="06-05-2026"/>
    <s v="Confirmed"/>
    <x v="0"/>
  </r>
  <r>
    <s v="B156"/>
    <s v="Ritika Sharma"/>
    <n v="32"/>
    <x v="1"/>
    <s v="Bali"/>
    <n v="81861"/>
    <s v="06-01-2026"/>
    <s v="Confirmed"/>
    <x v="0"/>
  </r>
  <r>
    <s v="B157"/>
    <s v="Priya Singh"/>
    <n v="25"/>
    <x v="1"/>
    <s v="Goa"/>
    <n v="19422"/>
    <s v="15-01-2026"/>
    <s v="Confirmed"/>
    <x v="5"/>
  </r>
  <r>
    <s v="B158"/>
    <s v="Ritika Sharma"/>
    <n v="37"/>
    <x v="0"/>
    <s v="Kerala"/>
    <n v="22509"/>
    <s v="27-05-2026"/>
    <s v="Cancelled"/>
    <x v="3"/>
  </r>
  <r>
    <s v="B159"/>
    <s v="Harsh Vardhan"/>
    <n v="48"/>
    <x v="1"/>
    <s v="Bali"/>
    <n v="80603"/>
    <s v="24-01-2026"/>
    <s v="Confirmed"/>
    <x v="2"/>
  </r>
  <r>
    <s v="B160"/>
    <s v="Nikhil Joshi"/>
    <n v="28"/>
    <x v="0"/>
    <s v="Dubai"/>
    <n v="56355"/>
    <s v="22-06-2026"/>
    <s v="Confirmed"/>
    <x v="1"/>
  </r>
  <r>
    <s v="B161"/>
    <s v="Pooja Nair"/>
    <n v="36"/>
    <x v="0"/>
    <s v="Kashmir"/>
    <n v="37200"/>
    <s v="10-01-2026"/>
    <s v="Confirmed"/>
    <x v="3"/>
  </r>
  <r>
    <s v="B162"/>
    <s v="Pooja Nair"/>
    <n v="37"/>
    <x v="1"/>
    <s v="Kashmir"/>
    <n v="30451"/>
    <s v="19-04-2026"/>
    <s v="Confirmed"/>
    <x v="3"/>
  </r>
  <r>
    <s v="B163"/>
    <s v="Arjun Kumar"/>
    <n v="43"/>
    <x v="0"/>
    <s v="Manali"/>
    <n v="20825"/>
    <s v="09-05-2026"/>
    <s v="Confirmed"/>
    <x v="4"/>
  </r>
  <r>
    <s v="B164"/>
    <s v="Nikhil Joshi"/>
    <n v="24"/>
    <x v="0"/>
    <s v="Dubai"/>
    <n v="62068"/>
    <s v="09-01-2026"/>
    <s v="Confirmed"/>
    <x v="5"/>
  </r>
  <r>
    <s v="B165"/>
    <s v="Harsh Vardhan"/>
    <n v="42"/>
    <x v="1"/>
    <s v="Kerala"/>
    <n v="18826"/>
    <s v="24-06-2026"/>
    <s v="Confirmed"/>
    <x v="4"/>
  </r>
  <r>
    <s v="B166"/>
    <s v="Neha Gupta"/>
    <n v="45"/>
    <x v="1"/>
    <s v="Goa"/>
    <n v="14582"/>
    <s v="06-05-2026"/>
    <s v="Cancelled"/>
    <x v="4"/>
  </r>
  <r>
    <s v="B167"/>
    <s v="Arjun Kumar"/>
    <n v="43"/>
    <x v="0"/>
    <s v="Bali"/>
    <n v="83413"/>
    <s v="20-06-2026"/>
    <s v="Confirmed"/>
    <x v="4"/>
  </r>
  <r>
    <s v="B168"/>
    <s v="Rahul Sharma"/>
    <n v="49"/>
    <x v="0"/>
    <s v="Bali"/>
    <n v="68575"/>
    <s v="10-02-2026"/>
    <s v="Cancelled"/>
    <x v="2"/>
  </r>
  <r>
    <s v="B169"/>
    <s v="Vikram Rao"/>
    <n v="25"/>
    <x v="0"/>
    <s v="Kerala"/>
    <n v="23848"/>
    <s v="17-05-2026"/>
    <s v="Confirmed"/>
    <x v="5"/>
  </r>
  <r>
    <s v="B170"/>
    <s v="Rahul Sharma"/>
    <n v="34"/>
    <x v="1"/>
    <s v="Manali"/>
    <n v="21410"/>
    <s v="28-03-2026"/>
    <s v="Confirmed"/>
    <x v="0"/>
  </r>
  <r>
    <s v="B171"/>
    <s v="Rahul Sharma"/>
    <n v="33"/>
    <x v="1"/>
    <s v="Goa"/>
    <n v="19154"/>
    <s v="21-04-2026"/>
    <s v="Confirmed"/>
    <x v="0"/>
  </r>
  <r>
    <s v="B172"/>
    <s v="Sarthak Roy"/>
    <n v="35"/>
    <x v="0"/>
    <s v="Bali"/>
    <n v="80473"/>
    <s v="07-03-2026"/>
    <s v="Confirmed"/>
    <x v="0"/>
  </r>
  <r>
    <s v="B173"/>
    <s v="Meera Iyer"/>
    <n v="38"/>
    <x v="0"/>
    <s v="Bali"/>
    <n v="55470"/>
    <s v="15-04-2026"/>
    <s v="Confirmed"/>
    <x v="3"/>
  </r>
  <r>
    <s v="B174"/>
    <s v="Harsh Vardhan"/>
    <n v="31"/>
    <x v="0"/>
    <s v="Kashmir"/>
    <n v="29151"/>
    <s v="20-04-2026"/>
    <s v="Cancelled"/>
    <x v="0"/>
  </r>
  <r>
    <s v="B175"/>
    <s v="Aisha Khan"/>
    <n v="25"/>
    <x v="1"/>
    <s v="Dubai"/>
    <n v="71584"/>
    <s v="25-01-2026"/>
    <s v="Confirmed"/>
    <x v="5"/>
  </r>
  <r>
    <s v="B176"/>
    <s v="Ananya Das"/>
    <n v="21"/>
    <x v="1"/>
    <s v="Manali"/>
    <n v="21134"/>
    <s v="03-03-2026"/>
    <s v="Cancelled"/>
    <x v="5"/>
  </r>
  <r>
    <s v="B177"/>
    <s v="Sneha Patel"/>
    <n v="22"/>
    <x v="1"/>
    <s v="Manali"/>
    <n v="17465"/>
    <s v="30-06-2026"/>
    <s v="Confirmed"/>
    <x v="5"/>
  </r>
  <r>
    <s v="B178"/>
    <s v="Sneha Patel"/>
    <n v="30"/>
    <x v="1"/>
    <s v="Kashmir"/>
    <n v="33605"/>
    <s v="29-06-2026"/>
    <s v="Confirmed"/>
    <x v="1"/>
  </r>
  <r>
    <s v="B179"/>
    <s v="Nikhil Joshi"/>
    <n v="38"/>
    <x v="1"/>
    <s v="Dubai"/>
    <n v="53733"/>
    <s v="22-02-2026"/>
    <s v="Confirmed"/>
    <x v="3"/>
  </r>
  <r>
    <s v="B180"/>
    <s v="Sneha Patel"/>
    <n v="42"/>
    <x v="0"/>
    <s v="Manali"/>
    <n v="20285"/>
    <s v="11-02-2026"/>
    <s v="Confirmed"/>
    <x v="4"/>
  </r>
  <r>
    <s v="B181"/>
    <s v="Pooja Nair"/>
    <n v="30"/>
    <x v="1"/>
    <s v="Kashmir"/>
    <n v="27845"/>
    <s v="15-01-2026"/>
    <s v="Confirmed"/>
    <x v="1"/>
  </r>
  <r>
    <s v="B182"/>
    <s v="Rohan Das"/>
    <n v="30"/>
    <x v="1"/>
    <s v="Bali"/>
    <n v="73157"/>
    <s v="17-04-2026"/>
    <s v="Cancelled"/>
    <x v="1"/>
  </r>
  <r>
    <s v="B183"/>
    <s v="Arjun Kumar"/>
    <n v="50"/>
    <x v="0"/>
    <s v="Goa"/>
    <n v="19525"/>
    <s v="04-03-2026"/>
    <s v="Cancelled"/>
    <x v="2"/>
  </r>
  <r>
    <s v="B184"/>
    <s v="Ananya Das"/>
    <n v="23"/>
    <x v="0"/>
    <s v="Manali"/>
    <n v="19082"/>
    <s v="28-06-2026"/>
    <s v="Confirmed"/>
    <x v="5"/>
  </r>
  <r>
    <s v="B185"/>
    <s v="Rahul Sharma"/>
    <n v="44"/>
    <x v="0"/>
    <s v="Kashmir"/>
    <n v="28266"/>
    <s v="28-06-2026"/>
    <s v="Confirmed"/>
    <x v="4"/>
  </r>
  <r>
    <s v="B186"/>
    <s v="Karan Mehta"/>
    <n v="41"/>
    <x v="1"/>
    <s v="Manali"/>
    <n v="19787"/>
    <s v="19-01-2026"/>
    <s v="Confirmed"/>
    <x v="4"/>
  </r>
  <r>
    <s v="B187"/>
    <s v="Priya Singh"/>
    <n v="24"/>
    <x v="0"/>
    <s v="Kerala"/>
    <n v="27817"/>
    <s v="14-04-2026"/>
    <s v="Cancelled"/>
    <x v="5"/>
  </r>
  <r>
    <s v="B188"/>
    <s v="Rahul Sharma"/>
    <n v="49"/>
    <x v="0"/>
    <s v="Goa"/>
    <n v="15068"/>
    <s v="06-04-2026"/>
    <s v="Confirmed"/>
    <x v="2"/>
  </r>
  <r>
    <s v="B189"/>
    <s v="Ritika Sharma"/>
    <n v="40"/>
    <x v="1"/>
    <s v="Kerala"/>
    <n v="18938"/>
    <s v="20-03-2026"/>
    <s v="Cancelled"/>
    <x v="3"/>
  </r>
  <r>
    <s v="B190"/>
    <s v="Kavya Reddy"/>
    <n v="22"/>
    <x v="1"/>
    <s v="Manali"/>
    <n v="19651"/>
    <s v="08-06-2026"/>
    <s v="Confirmed"/>
    <x v="5"/>
  </r>
  <r>
    <s v="B191"/>
    <s v="Kavya Reddy"/>
    <n v="25"/>
    <x v="0"/>
    <s v="Dubai"/>
    <n v="70837"/>
    <s v="09-04-2026"/>
    <s v="Cancelled"/>
    <x v="5"/>
  </r>
  <r>
    <s v="B192"/>
    <s v="Ananya Das"/>
    <n v="43"/>
    <x v="0"/>
    <s v="Kashmir"/>
    <n v="33309"/>
    <s v="13-06-2026"/>
    <s v="Confirmed"/>
    <x v="4"/>
  </r>
  <r>
    <s v="B193"/>
    <s v="Nikhil Joshi"/>
    <n v="32"/>
    <x v="1"/>
    <s v="Kerala"/>
    <n v="19949"/>
    <s v="05-01-2026"/>
    <s v="Confirmed"/>
    <x v="0"/>
  </r>
  <r>
    <s v="B194"/>
    <s v="Aisha Khan"/>
    <n v="42"/>
    <x v="1"/>
    <s v="Bali"/>
    <n v="81517"/>
    <s v="05-01-2026"/>
    <s v="Confirmed"/>
    <x v="4"/>
  </r>
  <r>
    <s v="B195"/>
    <s v="Karan Mehta"/>
    <n v="46"/>
    <x v="0"/>
    <s v="Bali"/>
    <n v="61562"/>
    <s v="28-02-2026"/>
    <s v="Cancelled"/>
    <x v="2"/>
  </r>
  <r>
    <s v="B196"/>
    <s v="Rohan Das"/>
    <n v="46"/>
    <x v="0"/>
    <s v="Manali"/>
    <n v="15703"/>
    <s v="05-03-2026"/>
    <s v="Confirmed"/>
    <x v="2"/>
  </r>
  <r>
    <s v="B197"/>
    <s v="Karan Mehta"/>
    <n v="30"/>
    <x v="0"/>
    <s v="Manali"/>
    <n v="18266"/>
    <s v="09-02-2026"/>
    <s v="Confirmed"/>
    <x v="1"/>
  </r>
  <r>
    <s v="B198"/>
    <s v="Karan Mehta"/>
    <n v="39"/>
    <x v="1"/>
    <s v="Manali"/>
    <n v="21283"/>
    <s v="22-01-2026"/>
    <s v="Confirmed"/>
    <x v="3"/>
  </r>
  <r>
    <s v="B199"/>
    <s v="Pooja Nair"/>
    <n v="39"/>
    <x v="0"/>
    <s v="Kashmir"/>
    <n v="37630"/>
    <s v="25-03-2026"/>
    <s v="Confirmed"/>
    <x v="3"/>
  </r>
  <r>
    <s v="B200"/>
    <s v="Ananya Das"/>
    <n v="42"/>
    <x v="0"/>
    <s v="Kerala"/>
    <n v="27364"/>
    <s v="31-05-2026"/>
    <s v="Confirmed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B001"/>
    <s v="Karan Mehta"/>
    <n v="31"/>
    <x v="0"/>
    <x v="0"/>
    <n v="35911"/>
    <s v="20-03-2026"/>
    <s v="Confirmed"/>
    <x v="0"/>
    <x v="0"/>
  </r>
  <r>
    <s v="B002"/>
    <s v="Pooja Nair"/>
    <n v="30"/>
    <x v="0"/>
    <x v="1"/>
    <n v="25383"/>
    <s v="27-05-2026"/>
    <s v="Cancelled"/>
    <x v="1"/>
    <x v="1"/>
  </r>
  <r>
    <s v="B003"/>
    <s v="Neha Gupta"/>
    <n v="47"/>
    <x v="0"/>
    <x v="2"/>
    <n v="20176"/>
    <s v="12-03-2026"/>
    <s v="Confirmed"/>
    <x v="2"/>
    <x v="0"/>
  </r>
  <r>
    <s v="B004"/>
    <s v="Rohan Das"/>
    <n v="28"/>
    <x v="0"/>
    <x v="3"/>
    <n v="53100"/>
    <s v="10-01-2026"/>
    <s v="Confirmed"/>
    <x v="1"/>
    <x v="2"/>
  </r>
  <r>
    <s v="B005"/>
    <s v="Aisha Khan"/>
    <n v="37"/>
    <x v="0"/>
    <x v="4"/>
    <n v="66096"/>
    <s v="16-03-2026"/>
    <s v="Confirmed"/>
    <x v="3"/>
    <x v="0"/>
  </r>
  <r>
    <s v="B006"/>
    <s v="Ananya Das"/>
    <n v="37"/>
    <x v="1"/>
    <x v="2"/>
    <n v="18862"/>
    <s v="17-01-2026"/>
    <s v="Confirmed"/>
    <x v="3"/>
    <x v="2"/>
  </r>
  <r>
    <s v="B007"/>
    <s v="Nikhil Joshi"/>
    <n v="45"/>
    <x v="0"/>
    <x v="5"/>
    <n v="20203"/>
    <s v="12-06-2026"/>
    <s v="Confirmed"/>
    <x v="4"/>
    <x v="3"/>
  </r>
  <r>
    <s v="B008"/>
    <s v="Nikhil Joshi"/>
    <n v="37"/>
    <x v="1"/>
    <x v="4"/>
    <n v="63466"/>
    <s v="20-04-2026"/>
    <s v="Confirmed"/>
    <x v="3"/>
    <x v="4"/>
  </r>
  <r>
    <s v="B009"/>
    <s v="Sarthak Roy"/>
    <n v="26"/>
    <x v="0"/>
    <x v="1"/>
    <n v="21132"/>
    <s v="10-05-2026"/>
    <s v="Confirmed"/>
    <x v="1"/>
    <x v="1"/>
  </r>
  <r>
    <s v="B010"/>
    <s v="Harsh Vardhan"/>
    <n v="35"/>
    <x v="0"/>
    <x v="4"/>
    <n v="83720"/>
    <s v="09-05-2026"/>
    <s v="Confirmed"/>
    <x v="0"/>
    <x v="1"/>
  </r>
  <r>
    <s v="B011"/>
    <s v="Vikram Rao"/>
    <n v="31"/>
    <x v="1"/>
    <x v="5"/>
    <n v="19702"/>
    <s v="20-05-2026"/>
    <s v="Confirmed"/>
    <x v="0"/>
    <x v="1"/>
  </r>
  <r>
    <s v="B012"/>
    <s v="Karan Mehta"/>
    <n v="47"/>
    <x v="0"/>
    <x v="3"/>
    <n v="74661"/>
    <s v="12-04-2026"/>
    <s v="Cancelled"/>
    <x v="2"/>
    <x v="4"/>
  </r>
  <r>
    <s v="B013"/>
    <s v="Vikram Rao"/>
    <n v="50"/>
    <x v="0"/>
    <x v="0"/>
    <n v="30752"/>
    <s v="18-02-2026"/>
    <s v="Cancelled"/>
    <x v="2"/>
    <x v="5"/>
  </r>
  <r>
    <s v="B014"/>
    <s v="Sarthak Roy"/>
    <n v="35"/>
    <x v="0"/>
    <x v="2"/>
    <n v="14087"/>
    <s v="21-03-2026"/>
    <s v="Cancelled"/>
    <x v="0"/>
    <x v="0"/>
  </r>
  <r>
    <s v="B015"/>
    <s v="Pooja Nair"/>
    <n v="30"/>
    <x v="1"/>
    <x v="1"/>
    <n v="22495"/>
    <s v="17-05-2026"/>
    <s v="Confirmed"/>
    <x v="1"/>
    <x v="1"/>
  </r>
  <r>
    <s v="B016"/>
    <s v="Meera Iyer"/>
    <n v="50"/>
    <x v="1"/>
    <x v="0"/>
    <n v="35549"/>
    <s v="21-03-2026"/>
    <s v="Confirmed"/>
    <x v="2"/>
    <x v="0"/>
  </r>
  <r>
    <s v="B017"/>
    <s v="Pooja Nair"/>
    <n v="23"/>
    <x v="0"/>
    <x v="4"/>
    <n v="77553"/>
    <s v="15-01-2026"/>
    <s v="Confirmed"/>
    <x v="5"/>
    <x v="2"/>
  </r>
  <r>
    <s v="B018"/>
    <s v="Rahul Sharma"/>
    <n v="40"/>
    <x v="0"/>
    <x v="5"/>
    <n v="24026"/>
    <s v="24-06-2026"/>
    <s v="Cancelled"/>
    <x v="3"/>
    <x v="3"/>
  </r>
  <r>
    <s v="B019"/>
    <s v="Sarthak Roy"/>
    <n v="36"/>
    <x v="1"/>
    <x v="3"/>
    <n v="68263"/>
    <s v="04-02-2026"/>
    <s v="Cancelled"/>
    <x v="3"/>
    <x v="5"/>
  </r>
  <r>
    <s v="B020"/>
    <s v="Meera Iyer"/>
    <n v="38"/>
    <x v="1"/>
    <x v="0"/>
    <n v="38063"/>
    <s v="12-03-2026"/>
    <s v="Confirmed"/>
    <x v="3"/>
    <x v="0"/>
  </r>
  <r>
    <s v="B021"/>
    <s v="Aman Jain"/>
    <n v="37"/>
    <x v="0"/>
    <x v="4"/>
    <n v="76289"/>
    <s v="12-06-2026"/>
    <s v="Confirmed"/>
    <x v="3"/>
    <x v="3"/>
  </r>
  <r>
    <s v="B022"/>
    <s v="Ananya Das"/>
    <n v="38"/>
    <x v="1"/>
    <x v="2"/>
    <n v="16923"/>
    <s v="05-06-2026"/>
    <s v="Confirmed"/>
    <x v="3"/>
    <x v="3"/>
  </r>
  <r>
    <s v="B023"/>
    <s v="Harsh Vardhan"/>
    <n v="22"/>
    <x v="1"/>
    <x v="0"/>
    <n v="36647"/>
    <s v="04-05-2026"/>
    <s v="Confirmed"/>
    <x v="5"/>
    <x v="1"/>
  </r>
  <r>
    <s v="B024"/>
    <s v="Harsh Vardhan"/>
    <n v="49"/>
    <x v="0"/>
    <x v="0"/>
    <n v="27606"/>
    <s v="22-06-2026"/>
    <s v="Confirmed"/>
    <x v="2"/>
    <x v="3"/>
  </r>
  <r>
    <s v="B025"/>
    <s v="Ritika Sharma"/>
    <n v="33"/>
    <x v="1"/>
    <x v="2"/>
    <n v="21394"/>
    <s v="10-01-2026"/>
    <s v="Confirmed"/>
    <x v="0"/>
    <x v="2"/>
  </r>
  <r>
    <s v="B026"/>
    <s v="Ritika Sharma"/>
    <n v="43"/>
    <x v="1"/>
    <x v="3"/>
    <n v="54115"/>
    <s v="08-05-2026"/>
    <s v="Cancelled"/>
    <x v="4"/>
    <x v="1"/>
  </r>
  <r>
    <s v="B027"/>
    <s v="Rohan Das"/>
    <n v="29"/>
    <x v="0"/>
    <x v="2"/>
    <n v="18362"/>
    <s v="19-02-2026"/>
    <s v="Confirmed"/>
    <x v="1"/>
    <x v="5"/>
  </r>
  <r>
    <s v="B028"/>
    <s v="Rohan Das"/>
    <n v="44"/>
    <x v="1"/>
    <x v="4"/>
    <n v="83794"/>
    <s v="13-03-2026"/>
    <s v="Confirmed"/>
    <x v="4"/>
    <x v="0"/>
  </r>
  <r>
    <s v="B029"/>
    <s v="Rahul Sharma"/>
    <n v="35"/>
    <x v="1"/>
    <x v="4"/>
    <n v="65602"/>
    <s v="19-05-2026"/>
    <s v="Confirmed"/>
    <x v="0"/>
    <x v="1"/>
  </r>
  <r>
    <s v="B030"/>
    <s v="Yash Gupta"/>
    <n v="23"/>
    <x v="0"/>
    <x v="0"/>
    <n v="34041"/>
    <s v="06-03-2026"/>
    <s v="Confirmed"/>
    <x v="5"/>
    <x v="0"/>
  </r>
  <r>
    <s v="B031"/>
    <s v="Rahul Sharma"/>
    <n v="24"/>
    <x v="0"/>
    <x v="2"/>
    <n v="18636"/>
    <s v="12-05-2026"/>
    <s v="Confirmed"/>
    <x v="5"/>
    <x v="1"/>
  </r>
  <r>
    <s v="B032"/>
    <s v="Sarthak Roy"/>
    <n v="28"/>
    <x v="0"/>
    <x v="0"/>
    <n v="32850"/>
    <s v="27-06-2026"/>
    <s v="Confirmed"/>
    <x v="1"/>
    <x v="3"/>
  </r>
  <r>
    <s v="B033"/>
    <s v="Priya Singh"/>
    <n v="26"/>
    <x v="0"/>
    <x v="1"/>
    <n v="20727"/>
    <s v="17-03-2026"/>
    <s v="Confirmed"/>
    <x v="1"/>
    <x v="0"/>
  </r>
  <r>
    <s v="B034"/>
    <s v="Sarthak Roy"/>
    <n v="50"/>
    <x v="0"/>
    <x v="2"/>
    <n v="17254"/>
    <s v="28-04-2026"/>
    <s v="Confirmed"/>
    <x v="2"/>
    <x v="4"/>
  </r>
  <r>
    <s v="B035"/>
    <s v="Arjun Kumar"/>
    <n v="34"/>
    <x v="1"/>
    <x v="5"/>
    <n v="16601"/>
    <s v="31-01-2026"/>
    <s v="Confirmed"/>
    <x v="0"/>
    <x v="2"/>
  </r>
  <r>
    <s v="B036"/>
    <s v="Aman Jain"/>
    <n v="28"/>
    <x v="0"/>
    <x v="0"/>
    <n v="34511"/>
    <s v="28-02-2026"/>
    <s v="Confirmed"/>
    <x v="1"/>
    <x v="5"/>
  </r>
  <r>
    <s v="B037"/>
    <s v="Rohan Das"/>
    <n v="27"/>
    <x v="1"/>
    <x v="3"/>
    <n v="72618"/>
    <s v="08-01-2026"/>
    <s v="Confirmed"/>
    <x v="1"/>
    <x v="2"/>
  </r>
  <r>
    <s v="B038"/>
    <s v="Rahul Sharma"/>
    <n v="25"/>
    <x v="0"/>
    <x v="0"/>
    <n v="26325"/>
    <s v="13-05-2026"/>
    <s v="Confirmed"/>
    <x v="5"/>
    <x v="1"/>
  </r>
  <r>
    <s v="B039"/>
    <s v="Nikhil Joshi"/>
    <n v="44"/>
    <x v="0"/>
    <x v="2"/>
    <n v="17651"/>
    <s v="22-02-2026"/>
    <s v="Confirmed"/>
    <x v="4"/>
    <x v="5"/>
  </r>
  <r>
    <s v="B040"/>
    <s v="Aditya Verma"/>
    <n v="33"/>
    <x v="0"/>
    <x v="2"/>
    <n v="19378"/>
    <s v="20-04-2026"/>
    <s v="Confirmed"/>
    <x v="0"/>
    <x v="4"/>
  </r>
  <r>
    <s v="B041"/>
    <s v="Yash Gupta"/>
    <n v="37"/>
    <x v="1"/>
    <x v="3"/>
    <n v="53612"/>
    <s v="04-03-2026"/>
    <s v="Confirmed"/>
    <x v="3"/>
    <x v="0"/>
  </r>
  <r>
    <s v="B042"/>
    <s v="Sarthak Roy"/>
    <n v="31"/>
    <x v="1"/>
    <x v="3"/>
    <n v="59321"/>
    <s v="02-06-2026"/>
    <s v="Confirmed"/>
    <x v="0"/>
    <x v="3"/>
  </r>
  <r>
    <s v="B043"/>
    <s v="Ananya Das"/>
    <n v="21"/>
    <x v="0"/>
    <x v="5"/>
    <n v="21669"/>
    <s v="05-05-2026"/>
    <s v="Confirmed"/>
    <x v="5"/>
    <x v="1"/>
  </r>
  <r>
    <s v="B044"/>
    <s v="Vikram Rao"/>
    <n v="31"/>
    <x v="1"/>
    <x v="4"/>
    <n v="63695"/>
    <s v="18-02-2026"/>
    <s v="Confirmed"/>
    <x v="0"/>
    <x v="5"/>
  </r>
  <r>
    <s v="B045"/>
    <s v="Meera Iyer"/>
    <n v="47"/>
    <x v="0"/>
    <x v="2"/>
    <n v="16137"/>
    <s v="28-04-2026"/>
    <s v="Confirmed"/>
    <x v="2"/>
    <x v="4"/>
  </r>
  <r>
    <s v="B046"/>
    <s v="Sneha Patel"/>
    <n v="48"/>
    <x v="1"/>
    <x v="0"/>
    <n v="26581"/>
    <s v="16-04-2026"/>
    <s v="Confirmed"/>
    <x v="2"/>
    <x v="4"/>
  </r>
  <r>
    <s v="B047"/>
    <s v="Ananya Das"/>
    <n v="40"/>
    <x v="1"/>
    <x v="1"/>
    <n v="19510"/>
    <s v="19-01-2026"/>
    <s v="Cancelled"/>
    <x v="3"/>
    <x v="2"/>
  </r>
  <r>
    <s v="B048"/>
    <s v="Kavya Reddy"/>
    <n v="45"/>
    <x v="1"/>
    <x v="2"/>
    <n v="18575"/>
    <s v="29-01-2026"/>
    <s v="Cancelled"/>
    <x v="4"/>
    <x v="2"/>
  </r>
  <r>
    <s v="B049"/>
    <s v="Kavya Reddy"/>
    <n v="27"/>
    <x v="1"/>
    <x v="0"/>
    <n v="29381"/>
    <s v="08-02-2026"/>
    <s v="Confirmed"/>
    <x v="1"/>
    <x v="5"/>
  </r>
  <r>
    <s v="B050"/>
    <s v="Meera Iyer"/>
    <n v="34"/>
    <x v="0"/>
    <x v="5"/>
    <n v="24065"/>
    <s v="02-02-2026"/>
    <s v="Cancelled"/>
    <x v="0"/>
    <x v="5"/>
  </r>
  <r>
    <s v="B051"/>
    <s v="Nikhil Joshi"/>
    <n v="43"/>
    <x v="1"/>
    <x v="2"/>
    <n v="18884"/>
    <s v="10-06-2026"/>
    <s v="Confirmed"/>
    <x v="4"/>
    <x v="3"/>
  </r>
  <r>
    <s v="B052"/>
    <s v="Karan Mehta"/>
    <n v="45"/>
    <x v="0"/>
    <x v="2"/>
    <n v="17525"/>
    <s v="16-02-2026"/>
    <s v="Confirmed"/>
    <x v="4"/>
    <x v="5"/>
  </r>
  <r>
    <s v="B053"/>
    <s v="Kavya Reddy"/>
    <n v="39"/>
    <x v="1"/>
    <x v="5"/>
    <n v="23867"/>
    <s v="25-02-2026"/>
    <s v="Confirmed"/>
    <x v="3"/>
    <x v="5"/>
  </r>
  <r>
    <s v="B054"/>
    <s v="Arjun Kumar"/>
    <n v="21"/>
    <x v="1"/>
    <x v="0"/>
    <n v="32638"/>
    <s v="01-03-2026"/>
    <s v="Confirmed"/>
    <x v="5"/>
    <x v="0"/>
  </r>
  <r>
    <s v="B055"/>
    <s v="Ritika Sharma"/>
    <n v="21"/>
    <x v="0"/>
    <x v="5"/>
    <n v="24707"/>
    <s v="06-03-2026"/>
    <s v="Confirmed"/>
    <x v="5"/>
    <x v="0"/>
  </r>
  <r>
    <s v="B056"/>
    <s v="Arjun Kumar"/>
    <n v="22"/>
    <x v="1"/>
    <x v="0"/>
    <n v="30819"/>
    <s v="14-02-2026"/>
    <s v="Confirmed"/>
    <x v="5"/>
    <x v="5"/>
  </r>
  <r>
    <s v="B057"/>
    <s v="Rahul Sharma"/>
    <n v="47"/>
    <x v="0"/>
    <x v="1"/>
    <n v="26550"/>
    <s v="27-06-2026"/>
    <s v="Cancelled"/>
    <x v="2"/>
    <x v="3"/>
  </r>
  <r>
    <s v="B058"/>
    <s v="Ananya Das"/>
    <n v="24"/>
    <x v="1"/>
    <x v="3"/>
    <n v="71391"/>
    <s v="06-06-2026"/>
    <s v="Cancelled"/>
    <x v="5"/>
    <x v="3"/>
  </r>
  <r>
    <s v="B059"/>
    <s v="Sneha Patel"/>
    <n v="42"/>
    <x v="0"/>
    <x v="0"/>
    <n v="35668"/>
    <s v="31-01-2026"/>
    <s v="Confirmed"/>
    <x v="4"/>
    <x v="2"/>
  </r>
  <r>
    <s v="B060"/>
    <s v="Meera Iyer"/>
    <n v="35"/>
    <x v="1"/>
    <x v="2"/>
    <n v="20712"/>
    <s v="23-01-2026"/>
    <s v="Confirmed"/>
    <x v="0"/>
    <x v="2"/>
  </r>
  <r>
    <s v="B061"/>
    <s v="Yash Gupta"/>
    <n v="40"/>
    <x v="1"/>
    <x v="4"/>
    <n v="76031"/>
    <s v="27-02-2026"/>
    <s v="Confirmed"/>
    <x v="3"/>
    <x v="5"/>
  </r>
  <r>
    <s v="B062"/>
    <s v="Meera Iyer"/>
    <n v="49"/>
    <x v="0"/>
    <x v="2"/>
    <n v="18174"/>
    <s v="01-01-2026"/>
    <s v="Confirmed"/>
    <x v="2"/>
    <x v="2"/>
  </r>
  <r>
    <s v="B063"/>
    <s v="Aditya Verma"/>
    <n v="30"/>
    <x v="0"/>
    <x v="2"/>
    <n v="16020"/>
    <s v="07-01-2026"/>
    <s v="Confirmed"/>
    <x v="1"/>
    <x v="2"/>
  </r>
  <r>
    <s v="B064"/>
    <s v="Kavya Reddy"/>
    <n v="25"/>
    <x v="1"/>
    <x v="3"/>
    <n v="52388"/>
    <s v="20-04-2026"/>
    <s v="Confirmed"/>
    <x v="5"/>
    <x v="4"/>
  </r>
  <r>
    <s v="B065"/>
    <s v="Aman Jain"/>
    <n v="22"/>
    <x v="1"/>
    <x v="1"/>
    <n v="24710"/>
    <s v="01-06-2026"/>
    <s v="Confirmed"/>
    <x v="5"/>
    <x v="3"/>
  </r>
  <r>
    <s v="B066"/>
    <s v="Rohan Das"/>
    <n v="40"/>
    <x v="1"/>
    <x v="2"/>
    <n v="17201"/>
    <s v="18-01-2026"/>
    <s v="Confirmed"/>
    <x v="3"/>
    <x v="2"/>
  </r>
  <r>
    <s v="B067"/>
    <s v="Sarthak Roy"/>
    <n v="28"/>
    <x v="0"/>
    <x v="0"/>
    <n v="35215"/>
    <s v="16-01-2026"/>
    <s v="Cancelled"/>
    <x v="1"/>
    <x v="2"/>
  </r>
  <r>
    <s v="B068"/>
    <s v="Aman Jain"/>
    <n v="38"/>
    <x v="1"/>
    <x v="2"/>
    <n v="17216"/>
    <s v="14-01-2026"/>
    <s v="Confirmed"/>
    <x v="3"/>
    <x v="2"/>
  </r>
  <r>
    <s v="B069"/>
    <s v="Aman Jain"/>
    <n v="32"/>
    <x v="1"/>
    <x v="2"/>
    <n v="19928"/>
    <s v="25-01-2026"/>
    <s v="Confirmed"/>
    <x v="0"/>
    <x v="2"/>
  </r>
  <r>
    <s v="B070"/>
    <s v="Karan Mehta"/>
    <n v="23"/>
    <x v="1"/>
    <x v="1"/>
    <n v="23528"/>
    <s v="09-04-2026"/>
    <s v="Confirmed"/>
    <x v="5"/>
    <x v="4"/>
  </r>
  <r>
    <s v="B071"/>
    <s v="Aman Jain"/>
    <n v="38"/>
    <x v="0"/>
    <x v="3"/>
    <n v="60881"/>
    <s v="15-01-2026"/>
    <s v="Confirmed"/>
    <x v="3"/>
    <x v="2"/>
  </r>
  <r>
    <s v="B072"/>
    <s v="Aditya Verma"/>
    <n v="47"/>
    <x v="1"/>
    <x v="5"/>
    <n v="19679"/>
    <s v="14-02-2026"/>
    <s v="Cancelled"/>
    <x v="2"/>
    <x v="5"/>
  </r>
  <r>
    <s v="B073"/>
    <s v="Yash Gupta"/>
    <n v="47"/>
    <x v="1"/>
    <x v="0"/>
    <n v="27720"/>
    <s v="28-06-2026"/>
    <s v="Confirmed"/>
    <x v="2"/>
    <x v="3"/>
  </r>
  <r>
    <s v="B074"/>
    <s v="Rohan Das"/>
    <n v="35"/>
    <x v="1"/>
    <x v="3"/>
    <n v="70814"/>
    <s v="14-02-2026"/>
    <s v="Confirmed"/>
    <x v="0"/>
    <x v="5"/>
  </r>
  <r>
    <s v="B075"/>
    <s v="Karan Mehta"/>
    <n v="40"/>
    <x v="0"/>
    <x v="3"/>
    <n v="55709"/>
    <s v="16-02-2026"/>
    <s v="Confirmed"/>
    <x v="3"/>
    <x v="5"/>
  </r>
  <r>
    <s v="B076"/>
    <s v="Vikram Rao"/>
    <n v="42"/>
    <x v="1"/>
    <x v="0"/>
    <n v="26722"/>
    <s v="08-02-2026"/>
    <s v="Confirmed"/>
    <x v="4"/>
    <x v="5"/>
  </r>
  <r>
    <s v="B077"/>
    <s v="Priya Singh"/>
    <n v="39"/>
    <x v="1"/>
    <x v="4"/>
    <n v="57093"/>
    <s v="13-04-2026"/>
    <s v="Confirmed"/>
    <x v="3"/>
    <x v="4"/>
  </r>
  <r>
    <s v="B078"/>
    <s v="Ananya Das"/>
    <n v="33"/>
    <x v="0"/>
    <x v="3"/>
    <n v="59865"/>
    <s v="27-01-2026"/>
    <s v="Confirmed"/>
    <x v="0"/>
    <x v="2"/>
  </r>
  <r>
    <s v="B079"/>
    <s v="Kavya Reddy"/>
    <n v="36"/>
    <x v="0"/>
    <x v="0"/>
    <n v="35286"/>
    <s v="20-05-2026"/>
    <s v="Cancelled"/>
    <x v="3"/>
    <x v="1"/>
  </r>
  <r>
    <s v="B080"/>
    <s v="Pooja Nair"/>
    <n v="29"/>
    <x v="1"/>
    <x v="3"/>
    <n v="55197"/>
    <s v="12-03-2026"/>
    <s v="Confirmed"/>
    <x v="1"/>
    <x v="0"/>
  </r>
  <r>
    <s v="B081"/>
    <s v="Ananya Das"/>
    <n v="49"/>
    <x v="0"/>
    <x v="0"/>
    <n v="29119"/>
    <s v="16-03-2026"/>
    <s v="Confirmed"/>
    <x v="2"/>
    <x v="0"/>
  </r>
  <r>
    <s v="B082"/>
    <s v="Meera Iyer"/>
    <n v="30"/>
    <x v="0"/>
    <x v="3"/>
    <n v="53720"/>
    <s v="21-05-2026"/>
    <s v="Cancelled"/>
    <x v="1"/>
    <x v="1"/>
  </r>
  <r>
    <s v="B083"/>
    <s v="Vikram Rao"/>
    <n v="40"/>
    <x v="1"/>
    <x v="1"/>
    <n v="24258"/>
    <s v="24-03-2026"/>
    <s v="Confirmed"/>
    <x v="3"/>
    <x v="0"/>
  </r>
  <r>
    <s v="B084"/>
    <s v="Rohan Das"/>
    <n v="33"/>
    <x v="0"/>
    <x v="4"/>
    <n v="58107"/>
    <s v="03-04-2026"/>
    <s v="Cancelled"/>
    <x v="0"/>
    <x v="4"/>
  </r>
  <r>
    <s v="B085"/>
    <s v="Ritika Sharma"/>
    <n v="33"/>
    <x v="0"/>
    <x v="4"/>
    <n v="57004"/>
    <s v="29-06-2026"/>
    <s v="Confirmed"/>
    <x v="0"/>
    <x v="3"/>
  </r>
  <r>
    <s v="B086"/>
    <s v="Arjun Kumar"/>
    <n v="42"/>
    <x v="1"/>
    <x v="2"/>
    <n v="15429"/>
    <s v="28-04-2026"/>
    <s v="Confirmed"/>
    <x v="4"/>
    <x v="4"/>
  </r>
  <r>
    <s v="B087"/>
    <s v="Sarthak Roy"/>
    <n v="39"/>
    <x v="0"/>
    <x v="4"/>
    <n v="57750"/>
    <s v="19-03-2026"/>
    <s v="Confirmed"/>
    <x v="3"/>
    <x v="0"/>
  </r>
  <r>
    <s v="B088"/>
    <s v="Kavya Reddy"/>
    <n v="24"/>
    <x v="1"/>
    <x v="3"/>
    <n v="66673"/>
    <s v="30-05-2026"/>
    <s v="Confirmed"/>
    <x v="5"/>
    <x v="1"/>
  </r>
  <r>
    <s v="B089"/>
    <s v="Vikram Rao"/>
    <n v="47"/>
    <x v="1"/>
    <x v="2"/>
    <n v="21880"/>
    <s v="03-04-2026"/>
    <s v="Confirmed"/>
    <x v="2"/>
    <x v="4"/>
  </r>
  <r>
    <s v="B090"/>
    <s v="Sarthak Roy"/>
    <n v="37"/>
    <x v="1"/>
    <x v="5"/>
    <n v="23099"/>
    <s v="24-04-2026"/>
    <s v="Confirmed"/>
    <x v="3"/>
    <x v="4"/>
  </r>
  <r>
    <s v="B091"/>
    <s v="Pooja Nair"/>
    <n v="49"/>
    <x v="1"/>
    <x v="0"/>
    <n v="25469"/>
    <s v="07-01-2026"/>
    <s v="Confirmed"/>
    <x v="2"/>
    <x v="2"/>
  </r>
  <r>
    <s v="B092"/>
    <s v="Neha Gupta"/>
    <n v="50"/>
    <x v="1"/>
    <x v="4"/>
    <n v="65510"/>
    <s v="07-05-2026"/>
    <s v="Confirmed"/>
    <x v="2"/>
    <x v="1"/>
  </r>
  <r>
    <s v="B093"/>
    <s v="Sarthak Roy"/>
    <n v="45"/>
    <x v="1"/>
    <x v="5"/>
    <n v="21509"/>
    <s v="04-05-2026"/>
    <s v="Confirmed"/>
    <x v="4"/>
    <x v="1"/>
  </r>
  <r>
    <s v="B094"/>
    <s v="Yash Gupta"/>
    <n v="43"/>
    <x v="0"/>
    <x v="0"/>
    <n v="38662"/>
    <s v="11-05-2026"/>
    <s v="Cancelled"/>
    <x v="4"/>
    <x v="1"/>
  </r>
  <r>
    <s v="B095"/>
    <s v="Rahul Sharma"/>
    <n v="24"/>
    <x v="0"/>
    <x v="3"/>
    <n v="53874"/>
    <s v="16-04-2026"/>
    <s v="Cancelled"/>
    <x v="5"/>
    <x v="4"/>
  </r>
  <r>
    <s v="B096"/>
    <s v="Yash Gupta"/>
    <n v="25"/>
    <x v="0"/>
    <x v="4"/>
    <n v="67948"/>
    <s v="23-04-2026"/>
    <s v="Confirmed"/>
    <x v="5"/>
    <x v="4"/>
  </r>
  <r>
    <s v="B097"/>
    <s v="Rohan Das"/>
    <n v="39"/>
    <x v="0"/>
    <x v="1"/>
    <n v="18926"/>
    <s v="02-05-2026"/>
    <s v="Confirmed"/>
    <x v="3"/>
    <x v="1"/>
  </r>
  <r>
    <s v="B098"/>
    <s v="Aditya Verma"/>
    <n v="24"/>
    <x v="0"/>
    <x v="5"/>
    <n v="22891"/>
    <s v="19-02-2026"/>
    <s v="Cancelled"/>
    <x v="5"/>
    <x v="5"/>
  </r>
  <r>
    <s v="B099"/>
    <s v="Pooja Nair"/>
    <n v="44"/>
    <x v="1"/>
    <x v="5"/>
    <n v="21644"/>
    <s v="05-02-2026"/>
    <s v="Confirmed"/>
    <x v="4"/>
    <x v="5"/>
  </r>
  <r>
    <s v="B100"/>
    <s v="Rahul Sharma"/>
    <n v="23"/>
    <x v="1"/>
    <x v="3"/>
    <n v="69832"/>
    <s v="09-01-2026"/>
    <s v="Cancelled"/>
    <x v="5"/>
    <x v="2"/>
  </r>
  <r>
    <s v="B101"/>
    <s v="Pooja Nair"/>
    <n v="38"/>
    <x v="0"/>
    <x v="3"/>
    <n v="57289"/>
    <s v="19-01-2026"/>
    <s v="Confirmed"/>
    <x v="3"/>
    <x v="2"/>
  </r>
  <r>
    <s v="B102"/>
    <s v="Vikram Rao"/>
    <n v="22"/>
    <x v="1"/>
    <x v="4"/>
    <n v="64772"/>
    <s v="05-04-2026"/>
    <s v="Cancelled"/>
    <x v="5"/>
    <x v="4"/>
  </r>
  <r>
    <s v="B103"/>
    <s v="Sarthak Roy"/>
    <n v="37"/>
    <x v="0"/>
    <x v="1"/>
    <n v="19759"/>
    <s v="01-05-2026"/>
    <s v="Confirmed"/>
    <x v="3"/>
    <x v="1"/>
  </r>
  <r>
    <s v="B104"/>
    <s v="Priya Singh"/>
    <n v="24"/>
    <x v="0"/>
    <x v="3"/>
    <n v="60115"/>
    <s v="20-01-2026"/>
    <s v="Confirmed"/>
    <x v="5"/>
    <x v="2"/>
  </r>
  <r>
    <s v="B105"/>
    <s v="Aisha Khan"/>
    <n v="24"/>
    <x v="0"/>
    <x v="5"/>
    <n v="20799"/>
    <s v="28-04-2026"/>
    <s v="Confirmed"/>
    <x v="5"/>
    <x v="4"/>
  </r>
  <r>
    <s v="B106"/>
    <s v="Neha Gupta"/>
    <n v="23"/>
    <x v="0"/>
    <x v="3"/>
    <n v="51601"/>
    <s v="16-06-2026"/>
    <s v="Confirmed"/>
    <x v="5"/>
    <x v="3"/>
  </r>
  <r>
    <s v="B107"/>
    <s v="Kavya Reddy"/>
    <n v="44"/>
    <x v="1"/>
    <x v="5"/>
    <n v="15325"/>
    <s v="19-06-2026"/>
    <s v="Confirmed"/>
    <x v="4"/>
    <x v="3"/>
  </r>
  <r>
    <s v="B108"/>
    <s v="Meera Iyer"/>
    <n v="24"/>
    <x v="0"/>
    <x v="3"/>
    <n v="51352"/>
    <s v="14-03-2026"/>
    <s v="Cancelled"/>
    <x v="5"/>
    <x v="0"/>
  </r>
  <r>
    <s v="B109"/>
    <s v="Ananya Das"/>
    <n v="42"/>
    <x v="1"/>
    <x v="2"/>
    <n v="21453"/>
    <s v="11-05-2026"/>
    <s v="Confirmed"/>
    <x v="4"/>
    <x v="1"/>
  </r>
  <r>
    <s v="B110"/>
    <s v="Vikram Rao"/>
    <n v="43"/>
    <x v="1"/>
    <x v="0"/>
    <n v="26490"/>
    <s v="27-01-2026"/>
    <s v="Confirmed"/>
    <x v="4"/>
    <x v="2"/>
  </r>
  <r>
    <s v="B111"/>
    <s v="Sneha Patel"/>
    <n v="34"/>
    <x v="0"/>
    <x v="5"/>
    <n v="19272"/>
    <s v="05-03-2026"/>
    <s v="Cancelled"/>
    <x v="0"/>
    <x v="0"/>
  </r>
  <r>
    <s v="B112"/>
    <s v="Priya Singh"/>
    <n v="39"/>
    <x v="1"/>
    <x v="3"/>
    <n v="71265"/>
    <s v="28-02-2026"/>
    <s v="Cancelled"/>
    <x v="3"/>
    <x v="5"/>
  </r>
  <r>
    <s v="B113"/>
    <s v="Arjun Kumar"/>
    <n v="41"/>
    <x v="0"/>
    <x v="4"/>
    <n v="56123"/>
    <s v="12-06-2026"/>
    <s v="Confirmed"/>
    <x v="4"/>
    <x v="3"/>
  </r>
  <r>
    <s v="B114"/>
    <s v="Ritika Sharma"/>
    <n v="44"/>
    <x v="1"/>
    <x v="2"/>
    <n v="20285"/>
    <s v="10-04-2026"/>
    <s v="Confirmed"/>
    <x v="4"/>
    <x v="4"/>
  </r>
  <r>
    <s v="B115"/>
    <s v="Meera Iyer"/>
    <n v="37"/>
    <x v="0"/>
    <x v="5"/>
    <n v="19396"/>
    <s v="09-06-2026"/>
    <s v="Cancelled"/>
    <x v="3"/>
    <x v="3"/>
  </r>
  <r>
    <s v="B116"/>
    <s v="Karan Mehta"/>
    <n v="42"/>
    <x v="0"/>
    <x v="5"/>
    <n v="16817"/>
    <s v="06-01-2026"/>
    <s v="Cancelled"/>
    <x v="4"/>
    <x v="2"/>
  </r>
  <r>
    <s v="B117"/>
    <s v="Aman Jain"/>
    <n v="25"/>
    <x v="0"/>
    <x v="3"/>
    <n v="56948"/>
    <s v="12-02-2026"/>
    <s v="Cancelled"/>
    <x v="5"/>
    <x v="5"/>
  </r>
  <r>
    <s v="B118"/>
    <s v="Sneha Patel"/>
    <n v="36"/>
    <x v="1"/>
    <x v="3"/>
    <n v="64851"/>
    <s v="21-02-2026"/>
    <s v="Cancelled"/>
    <x v="3"/>
    <x v="5"/>
  </r>
  <r>
    <s v="B119"/>
    <s v="Neha Gupta"/>
    <n v="24"/>
    <x v="1"/>
    <x v="5"/>
    <n v="23320"/>
    <s v="03-05-2026"/>
    <s v="Confirmed"/>
    <x v="5"/>
    <x v="1"/>
  </r>
  <r>
    <s v="B120"/>
    <s v="Pooja Nair"/>
    <n v="41"/>
    <x v="0"/>
    <x v="1"/>
    <n v="21139"/>
    <s v="17-05-2026"/>
    <s v="Confirmed"/>
    <x v="4"/>
    <x v="1"/>
  </r>
  <r>
    <s v="B121"/>
    <s v="Ritika Sharma"/>
    <n v="30"/>
    <x v="1"/>
    <x v="5"/>
    <n v="19819"/>
    <s v="24-01-2026"/>
    <s v="Confirmed"/>
    <x v="1"/>
    <x v="2"/>
  </r>
  <r>
    <s v="B122"/>
    <s v="Pooja Nair"/>
    <n v="47"/>
    <x v="0"/>
    <x v="1"/>
    <n v="22925"/>
    <s v="11-04-2026"/>
    <s v="Cancelled"/>
    <x v="2"/>
    <x v="4"/>
  </r>
  <r>
    <s v="B123"/>
    <s v="Sneha Patel"/>
    <n v="38"/>
    <x v="0"/>
    <x v="4"/>
    <n v="83411"/>
    <s v="01-02-2026"/>
    <s v="Confirmed"/>
    <x v="3"/>
    <x v="5"/>
  </r>
  <r>
    <s v="B124"/>
    <s v="Pooja Nair"/>
    <n v="35"/>
    <x v="0"/>
    <x v="2"/>
    <n v="18249"/>
    <s v="16-04-2026"/>
    <s v="Confirmed"/>
    <x v="0"/>
    <x v="4"/>
  </r>
  <r>
    <s v="B125"/>
    <s v="Aman Jain"/>
    <n v="50"/>
    <x v="1"/>
    <x v="3"/>
    <n v="50046"/>
    <s v="11-04-2026"/>
    <s v="Confirmed"/>
    <x v="2"/>
    <x v="4"/>
  </r>
  <r>
    <s v="B126"/>
    <s v="Aman Jain"/>
    <n v="45"/>
    <x v="1"/>
    <x v="4"/>
    <n v="78802"/>
    <s v="26-02-2026"/>
    <s v="Confirmed"/>
    <x v="4"/>
    <x v="5"/>
  </r>
  <r>
    <s v="B127"/>
    <s v="Karan Mehta"/>
    <n v="37"/>
    <x v="1"/>
    <x v="3"/>
    <n v="59638"/>
    <s v="10-04-2026"/>
    <s v="Cancelled"/>
    <x v="3"/>
    <x v="4"/>
  </r>
  <r>
    <s v="B128"/>
    <s v="Harsh Vardhan"/>
    <n v="26"/>
    <x v="1"/>
    <x v="4"/>
    <n v="70078"/>
    <s v="02-04-2026"/>
    <s v="Confirmed"/>
    <x v="1"/>
    <x v="4"/>
  </r>
  <r>
    <s v="B129"/>
    <s v="Ritika Sharma"/>
    <n v="33"/>
    <x v="0"/>
    <x v="5"/>
    <n v="18881"/>
    <s v="27-06-2026"/>
    <s v="Confirmed"/>
    <x v="0"/>
    <x v="3"/>
  </r>
  <r>
    <s v="B130"/>
    <s v="Aman Jain"/>
    <n v="30"/>
    <x v="0"/>
    <x v="1"/>
    <n v="27543"/>
    <s v="06-03-2026"/>
    <s v="Cancelled"/>
    <x v="1"/>
    <x v="0"/>
  </r>
  <r>
    <s v="B131"/>
    <s v="Aman Jain"/>
    <n v="45"/>
    <x v="0"/>
    <x v="3"/>
    <n v="62806"/>
    <s v="07-03-2026"/>
    <s v="Cancelled"/>
    <x v="4"/>
    <x v="0"/>
  </r>
  <r>
    <s v="B132"/>
    <s v="Pooja Nair"/>
    <n v="22"/>
    <x v="1"/>
    <x v="3"/>
    <n v="64562"/>
    <s v="16-05-2026"/>
    <s v="Confirmed"/>
    <x v="5"/>
    <x v="1"/>
  </r>
  <r>
    <s v="B133"/>
    <s v="Kavya Reddy"/>
    <n v="41"/>
    <x v="0"/>
    <x v="4"/>
    <n v="61693"/>
    <s v="19-04-2026"/>
    <s v="Confirmed"/>
    <x v="4"/>
    <x v="4"/>
  </r>
  <r>
    <s v="B134"/>
    <s v="Priya Singh"/>
    <n v="40"/>
    <x v="0"/>
    <x v="0"/>
    <n v="39546"/>
    <s v="19-06-2026"/>
    <s v="Confirmed"/>
    <x v="3"/>
    <x v="3"/>
  </r>
  <r>
    <s v="B135"/>
    <s v="Aditya Verma"/>
    <n v="33"/>
    <x v="0"/>
    <x v="3"/>
    <n v="52169"/>
    <s v="29-06-2026"/>
    <s v="Confirmed"/>
    <x v="0"/>
    <x v="3"/>
  </r>
  <r>
    <s v="B136"/>
    <s v="Aditya Verma"/>
    <n v="34"/>
    <x v="0"/>
    <x v="4"/>
    <n v="82570"/>
    <s v="06-02-2026"/>
    <s v="Confirmed"/>
    <x v="0"/>
    <x v="5"/>
  </r>
  <r>
    <s v="B137"/>
    <s v="Ananya Das"/>
    <n v="34"/>
    <x v="1"/>
    <x v="3"/>
    <n v="71892"/>
    <s v="03-05-2026"/>
    <s v="Confirmed"/>
    <x v="0"/>
    <x v="1"/>
  </r>
  <r>
    <s v="B138"/>
    <s v="Meera Iyer"/>
    <n v="23"/>
    <x v="1"/>
    <x v="2"/>
    <n v="18181"/>
    <s v="05-02-2026"/>
    <s v="Confirmed"/>
    <x v="5"/>
    <x v="5"/>
  </r>
  <r>
    <s v="B139"/>
    <s v="Kavya Reddy"/>
    <n v="25"/>
    <x v="1"/>
    <x v="3"/>
    <n v="55989"/>
    <s v="03-02-2026"/>
    <s v="Cancelled"/>
    <x v="5"/>
    <x v="5"/>
  </r>
  <r>
    <s v="B140"/>
    <s v="Meera Iyer"/>
    <n v="24"/>
    <x v="0"/>
    <x v="0"/>
    <n v="34107"/>
    <s v="26-04-2026"/>
    <s v="Confirmed"/>
    <x v="5"/>
    <x v="4"/>
  </r>
  <r>
    <s v="B141"/>
    <s v="Aditya Verma"/>
    <n v="37"/>
    <x v="1"/>
    <x v="1"/>
    <n v="20777"/>
    <s v="05-04-2026"/>
    <s v="Confirmed"/>
    <x v="3"/>
    <x v="4"/>
  </r>
  <r>
    <s v="B142"/>
    <s v="Kavya Reddy"/>
    <n v="30"/>
    <x v="1"/>
    <x v="5"/>
    <n v="19897"/>
    <s v="29-01-2026"/>
    <s v="Confirmed"/>
    <x v="1"/>
    <x v="2"/>
  </r>
  <r>
    <s v="B143"/>
    <s v="Nikhil Joshi"/>
    <n v="39"/>
    <x v="0"/>
    <x v="5"/>
    <n v="24132"/>
    <s v="03-05-2026"/>
    <s v="Confirmed"/>
    <x v="3"/>
    <x v="1"/>
  </r>
  <r>
    <s v="B144"/>
    <s v="Sarthak Roy"/>
    <n v="36"/>
    <x v="1"/>
    <x v="3"/>
    <n v="50468"/>
    <s v="28-02-2026"/>
    <s v="Confirmed"/>
    <x v="3"/>
    <x v="5"/>
  </r>
  <r>
    <s v="B145"/>
    <s v="Ananya Das"/>
    <n v="50"/>
    <x v="0"/>
    <x v="2"/>
    <n v="19315"/>
    <s v="19-03-2026"/>
    <s v="Confirmed"/>
    <x v="2"/>
    <x v="0"/>
  </r>
  <r>
    <s v="B146"/>
    <s v="Aditya Verma"/>
    <n v="29"/>
    <x v="0"/>
    <x v="3"/>
    <n v="59349"/>
    <s v="04-01-2026"/>
    <s v="Confirmed"/>
    <x v="1"/>
    <x v="2"/>
  </r>
  <r>
    <s v="B147"/>
    <s v="Harsh Vardhan"/>
    <n v="22"/>
    <x v="0"/>
    <x v="2"/>
    <n v="14368"/>
    <s v="13-03-2026"/>
    <s v="Confirmed"/>
    <x v="5"/>
    <x v="0"/>
  </r>
  <r>
    <s v="B148"/>
    <s v="Harsh Vardhan"/>
    <n v="35"/>
    <x v="0"/>
    <x v="4"/>
    <n v="67938"/>
    <s v="26-06-2026"/>
    <s v="Confirmed"/>
    <x v="0"/>
    <x v="3"/>
  </r>
  <r>
    <s v="B149"/>
    <s v="Sneha Patel"/>
    <n v="37"/>
    <x v="0"/>
    <x v="1"/>
    <n v="18361"/>
    <s v="11-02-2026"/>
    <s v="Confirmed"/>
    <x v="3"/>
    <x v="5"/>
  </r>
  <r>
    <s v="B150"/>
    <s v="Arjun Kumar"/>
    <n v="33"/>
    <x v="0"/>
    <x v="0"/>
    <n v="38962"/>
    <s v="05-04-2026"/>
    <s v="Confirmed"/>
    <x v="0"/>
    <x v="4"/>
  </r>
  <r>
    <s v="B151"/>
    <s v="Sarthak Roy"/>
    <n v="23"/>
    <x v="0"/>
    <x v="3"/>
    <n v="74134"/>
    <s v="16-02-2026"/>
    <s v="Confirmed"/>
    <x v="5"/>
    <x v="5"/>
  </r>
  <r>
    <s v="B152"/>
    <s v="Rahul Sharma"/>
    <n v="31"/>
    <x v="1"/>
    <x v="3"/>
    <n v="58267"/>
    <s v="13-06-2026"/>
    <s v="Confirmed"/>
    <x v="0"/>
    <x v="3"/>
  </r>
  <r>
    <s v="B153"/>
    <s v="Sarthak Roy"/>
    <n v="30"/>
    <x v="0"/>
    <x v="5"/>
    <n v="24514"/>
    <s v="24-05-2026"/>
    <s v="Confirmed"/>
    <x v="1"/>
    <x v="1"/>
  </r>
  <r>
    <s v="B154"/>
    <s v="Nikhil Joshi"/>
    <n v="26"/>
    <x v="0"/>
    <x v="0"/>
    <n v="32496"/>
    <s v="02-04-2026"/>
    <s v="Confirmed"/>
    <x v="1"/>
    <x v="4"/>
  </r>
  <r>
    <s v="B155"/>
    <s v="Vikram Rao"/>
    <n v="33"/>
    <x v="0"/>
    <x v="5"/>
    <n v="15864"/>
    <s v="06-05-2026"/>
    <s v="Confirmed"/>
    <x v="0"/>
    <x v="1"/>
  </r>
  <r>
    <s v="B156"/>
    <s v="Ritika Sharma"/>
    <n v="32"/>
    <x v="1"/>
    <x v="4"/>
    <n v="81861"/>
    <s v="06-01-2026"/>
    <s v="Confirmed"/>
    <x v="0"/>
    <x v="2"/>
  </r>
  <r>
    <s v="B157"/>
    <s v="Priya Singh"/>
    <n v="25"/>
    <x v="1"/>
    <x v="2"/>
    <n v="19422"/>
    <s v="15-01-2026"/>
    <s v="Confirmed"/>
    <x v="5"/>
    <x v="2"/>
  </r>
  <r>
    <s v="B158"/>
    <s v="Ritika Sharma"/>
    <n v="37"/>
    <x v="0"/>
    <x v="1"/>
    <n v="22509"/>
    <s v="27-05-2026"/>
    <s v="Cancelled"/>
    <x v="3"/>
    <x v="1"/>
  </r>
  <r>
    <s v="B159"/>
    <s v="Harsh Vardhan"/>
    <n v="48"/>
    <x v="1"/>
    <x v="4"/>
    <n v="80603"/>
    <s v="24-01-2026"/>
    <s v="Confirmed"/>
    <x v="2"/>
    <x v="2"/>
  </r>
  <r>
    <s v="B160"/>
    <s v="Nikhil Joshi"/>
    <n v="28"/>
    <x v="0"/>
    <x v="3"/>
    <n v="56355"/>
    <s v="22-06-2026"/>
    <s v="Confirmed"/>
    <x v="1"/>
    <x v="3"/>
  </r>
  <r>
    <s v="B161"/>
    <s v="Pooja Nair"/>
    <n v="36"/>
    <x v="0"/>
    <x v="0"/>
    <n v="37200"/>
    <s v="10-01-2026"/>
    <s v="Confirmed"/>
    <x v="3"/>
    <x v="2"/>
  </r>
  <r>
    <s v="B162"/>
    <s v="Pooja Nair"/>
    <n v="37"/>
    <x v="1"/>
    <x v="0"/>
    <n v="30451"/>
    <s v="19-04-2026"/>
    <s v="Confirmed"/>
    <x v="3"/>
    <x v="4"/>
  </r>
  <r>
    <s v="B163"/>
    <s v="Arjun Kumar"/>
    <n v="43"/>
    <x v="0"/>
    <x v="5"/>
    <n v="20825"/>
    <s v="09-05-2026"/>
    <s v="Confirmed"/>
    <x v="4"/>
    <x v="1"/>
  </r>
  <r>
    <s v="B164"/>
    <s v="Nikhil Joshi"/>
    <n v="24"/>
    <x v="0"/>
    <x v="3"/>
    <n v="62068"/>
    <s v="09-01-2026"/>
    <s v="Confirmed"/>
    <x v="5"/>
    <x v="2"/>
  </r>
  <r>
    <s v="B165"/>
    <s v="Harsh Vardhan"/>
    <n v="42"/>
    <x v="1"/>
    <x v="1"/>
    <n v="18826"/>
    <s v="24-06-2026"/>
    <s v="Confirmed"/>
    <x v="4"/>
    <x v="3"/>
  </r>
  <r>
    <s v="B166"/>
    <s v="Neha Gupta"/>
    <n v="45"/>
    <x v="1"/>
    <x v="2"/>
    <n v="14582"/>
    <s v="06-05-2026"/>
    <s v="Cancelled"/>
    <x v="4"/>
    <x v="1"/>
  </r>
  <r>
    <s v="B167"/>
    <s v="Arjun Kumar"/>
    <n v="43"/>
    <x v="0"/>
    <x v="4"/>
    <n v="83413"/>
    <s v="20-06-2026"/>
    <s v="Confirmed"/>
    <x v="4"/>
    <x v="3"/>
  </r>
  <r>
    <s v="B168"/>
    <s v="Rahul Sharma"/>
    <n v="49"/>
    <x v="0"/>
    <x v="4"/>
    <n v="68575"/>
    <s v="10-02-2026"/>
    <s v="Cancelled"/>
    <x v="2"/>
    <x v="5"/>
  </r>
  <r>
    <s v="B169"/>
    <s v="Vikram Rao"/>
    <n v="25"/>
    <x v="0"/>
    <x v="1"/>
    <n v="23848"/>
    <s v="17-05-2026"/>
    <s v="Confirmed"/>
    <x v="5"/>
    <x v="1"/>
  </r>
  <r>
    <s v="B170"/>
    <s v="Rahul Sharma"/>
    <n v="34"/>
    <x v="1"/>
    <x v="5"/>
    <n v="21410"/>
    <s v="28-03-2026"/>
    <s v="Confirmed"/>
    <x v="0"/>
    <x v="0"/>
  </r>
  <r>
    <s v="B171"/>
    <s v="Rahul Sharma"/>
    <n v="33"/>
    <x v="1"/>
    <x v="2"/>
    <n v="19154"/>
    <s v="21-04-2026"/>
    <s v="Confirmed"/>
    <x v="0"/>
    <x v="4"/>
  </r>
  <r>
    <s v="B172"/>
    <s v="Sarthak Roy"/>
    <n v="35"/>
    <x v="0"/>
    <x v="4"/>
    <n v="80473"/>
    <s v="07-03-2026"/>
    <s v="Confirmed"/>
    <x v="0"/>
    <x v="0"/>
  </r>
  <r>
    <s v="B173"/>
    <s v="Meera Iyer"/>
    <n v="38"/>
    <x v="0"/>
    <x v="4"/>
    <n v="55470"/>
    <s v="15-04-2026"/>
    <s v="Confirmed"/>
    <x v="3"/>
    <x v="4"/>
  </r>
  <r>
    <s v="B174"/>
    <s v="Harsh Vardhan"/>
    <n v="31"/>
    <x v="0"/>
    <x v="0"/>
    <n v="29151"/>
    <s v="20-04-2026"/>
    <s v="Cancelled"/>
    <x v="0"/>
    <x v="4"/>
  </r>
  <r>
    <s v="B175"/>
    <s v="Aisha Khan"/>
    <n v="25"/>
    <x v="1"/>
    <x v="3"/>
    <n v="71584"/>
    <s v="25-01-2026"/>
    <s v="Confirmed"/>
    <x v="5"/>
    <x v="2"/>
  </r>
  <r>
    <s v="B176"/>
    <s v="Ananya Das"/>
    <n v="21"/>
    <x v="1"/>
    <x v="5"/>
    <n v="21134"/>
    <s v="03-03-2026"/>
    <s v="Cancelled"/>
    <x v="5"/>
    <x v="0"/>
  </r>
  <r>
    <s v="B177"/>
    <s v="Sneha Patel"/>
    <n v="22"/>
    <x v="1"/>
    <x v="5"/>
    <n v="17465"/>
    <s v="30-06-2026"/>
    <s v="Confirmed"/>
    <x v="5"/>
    <x v="3"/>
  </r>
  <r>
    <s v="B178"/>
    <s v="Sneha Patel"/>
    <n v="30"/>
    <x v="1"/>
    <x v="0"/>
    <n v="33605"/>
    <s v="29-06-2026"/>
    <s v="Confirmed"/>
    <x v="1"/>
    <x v="3"/>
  </r>
  <r>
    <s v="B179"/>
    <s v="Nikhil Joshi"/>
    <n v="38"/>
    <x v="1"/>
    <x v="3"/>
    <n v="53733"/>
    <s v="22-02-2026"/>
    <s v="Confirmed"/>
    <x v="3"/>
    <x v="5"/>
  </r>
  <r>
    <s v="B180"/>
    <s v="Sneha Patel"/>
    <n v="42"/>
    <x v="0"/>
    <x v="5"/>
    <n v="20285"/>
    <s v="11-02-2026"/>
    <s v="Confirmed"/>
    <x v="4"/>
    <x v="5"/>
  </r>
  <r>
    <s v="B181"/>
    <s v="Pooja Nair"/>
    <n v="30"/>
    <x v="1"/>
    <x v="0"/>
    <n v="27845"/>
    <s v="15-01-2026"/>
    <s v="Confirmed"/>
    <x v="1"/>
    <x v="2"/>
  </r>
  <r>
    <s v="B182"/>
    <s v="Rohan Das"/>
    <n v="30"/>
    <x v="1"/>
    <x v="4"/>
    <n v="73157"/>
    <s v="17-04-2026"/>
    <s v="Cancelled"/>
    <x v="1"/>
    <x v="4"/>
  </r>
  <r>
    <s v="B183"/>
    <s v="Arjun Kumar"/>
    <n v="50"/>
    <x v="0"/>
    <x v="2"/>
    <n v="19525"/>
    <s v="04-03-2026"/>
    <s v="Cancelled"/>
    <x v="2"/>
    <x v="0"/>
  </r>
  <r>
    <s v="B184"/>
    <s v="Ananya Das"/>
    <n v="23"/>
    <x v="0"/>
    <x v="5"/>
    <n v="19082"/>
    <s v="28-06-2026"/>
    <s v="Confirmed"/>
    <x v="5"/>
    <x v="3"/>
  </r>
  <r>
    <s v="B185"/>
    <s v="Rahul Sharma"/>
    <n v="44"/>
    <x v="0"/>
    <x v="0"/>
    <n v="28266"/>
    <s v="28-06-2026"/>
    <s v="Confirmed"/>
    <x v="4"/>
    <x v="3"/>
  </r>
  <r>
    <s v="B186"/>
    <s v="Karan Mehta"/>
    <n v="41"/>
    <x v="1"/>
    <x v="5"/>
    <n v="19787"/>
    <s v="19-01-2026"/>
    <s v="Confirmed"/>
    <x v="4"/>
    <x v="2"/>
  </r>
  <r>
    <s v="B187"/>
    <s v="Priya Singh"/>
    <n v="24"/>
    <x v="0"/>
    <x v="1"/>
    <n v="27817"/>
    <s v="14-04-2026"/>
    <s v="Cancelled"/>
    <x v="5"/>
    <x v="4"/>
  </r>
  <r>
    <s v="B188"/>
    <s v="Rahul Sharma"/>
    <n v="49"/>
    <x v="0"/>
    <x v="2"/>
    <n v="15068"/>
    <s v="06-04-2026"/>
    <s v="Confirmed"/>
    <x v="2"/>
    <x v="4"/>
  </r>
  <r>
    <s v="B189"/>
    <s v="Ritika Sharma"/>
    <n v="40"/>
    <x v="1"/>
    <x v="1"/>
    <n v="18938"/>
    <s v="20-03-2026"/>
    <s v="Cancelled"/>
    <x v="3"/>
    <x v="0"/>
  </r>
  <r>
    <s v="B190"/>
    <s v="Kavya Reddy"/>
    <n v="22"/>
    <x v="1"/>
    <x v="5"/>
    <n v="19651"/>
    <s v="08-06-2026"/>
    <s v="Confirmed"/>
    <x v="5"/>
    <x v="3"/>
  </r>
  <r>
    <s v="B191"/>
    <s v="Kavya Reddy"/>
    <n v="25"/>
    <x v="0"/>
    <x v="3"/>
    <n v="70837"/>
    <s v="09-04-2026"/>
    <s v="Cancelled"/>
    <x v="5"/>
    <x v="4"/>
  </r>
  <r>
    <s v="B192"/>
    <s v="Ananya Das"/>
    <n v="43"/>
    <x v="0"/>
    <x v="0"/>
    <n v="33309"/>
    <s v="13-06-2026"/>
    <s v="Confirmed"/>
    <x v="4"/>
    <x v="3"/>
  </r>
  <r>
    <s v="B193"/>
    <s v="Nikhil Joshi"/>
    <n v="32"/>
    <x v="1"/>
    <x v="1"/>
    <n v="19949"/>
    <s v="05-01-2026"/>
    <s v="Confirmed"/>
    <x v="0"/>
    <x v="2"/>
  </r>
  <r>
    <s v="B194"/>
    <s v="Aisha Khan"/>
    <n v="42"/>
    <x v="1"/>
    <x v="4"/>
    <n v="81517"/>
    <s v="05-01-2026"/>
    <s v="Confirmed"/>
    <x v="4"/>
    <x v="2"/>
  </r>
  <r>
    <s v="B195"/>
    <s v="Karan Mehta"/>
    <n v="46"/>
    <x v="0"/>
    <x v="4"/>
    <n v="61562"/>
    <s v="28-02-2026"/>
    <s v="Cancelled"/>
    <x v="2"/>
    <x v="5"/>
  </r>
  <r>
    <s v="B196"/>
    <s v="Rohan Das"/>
    <n v="46"/>
    <x v="0"/>
    <x v="5"/>
    <n v="15703"/>
    <s v="05-03-2026"/>
    <s v="Confirmed"/>
    <x v="2"/>
    <x v="0"/>
  </r>
  <r>
    <s v="B197"/>
    <s v="Karan Mehta"/>
    <n v="30"/>
    <x v="0"/>
    <x v="5"/>
    <n v="18266"/>
    <s v="09-02-2026"/>
    <s v="Confirmed"/>
    <x v="1"/>
    <x v="5"/>
  </r>
  <r>
    <s v="B198"/>
    <s v="Karan Mehta"/>
    <n v="39"/>
    <x v="1"/>
    <x v="5"/>
    <n v="21283"/>
    <s v="22-01-2026"/>
    <s v="Confirmed"/>
    <x v="3"/>
    <x v="2"/>
  </r>
  <r>
    <s v="B199"/>
    <s v="Pooja Nair"/>
    <n v="39"/>
    <x v="0"/>
    <x v="0"/>
    <n v="37630"/>
    <s v="25-03-2026"/>
    <s v="Confirmed"/>
    <x v="3"/>
    <x v="0"/>
  </r>
  <r>
    <s v="B200"/>
    <s v="Ananya Das"/>
    <n v="42"/>
    <x v="0"/>
    <x v="1"/>
    <n v="27364"/>
    <s v="31-05-2026"/>
    <s v="Confirmed"/>
    <x v="4"/>
    <x v="1"/>
  </r>
  <r>
    <m/>
    <m/>
    <m/>
    <x v="2"/>
    <x v="6"/>
    <m/>
    <m/>
    <m/>
    <x v="6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Karan Mehta"/>
    <n v="31"/>
    <s v="M"/>
    <x v="0"/>
    <n v="35911"/>
    <s v="20-03-2026"/>
    <x v="0"/>
    <s v="31-35"/>
    <s v="03"/>
  </r>
  <r>
    <s v="B002"/>
    <s v="Pooja Nair"/>
    <n v="30"/>
    <s v="M"/>
    <x v="1"/>
    <n v="25383"/>
    <s v="27-05-2026"/>
    <x v="1"/>
    <s v="26-30"/>
    <s v="05"/>
  </r>
  <r>
    <s v="B003"/>
    <s v="Neha Gupta"/>
    <n v="47"/>
    <s v="M"/>
    <x v="2"/>
    <n v="20176"/>
    <s v="12-03-2026"/>
    <x v="0"/>
    <s v="46-50"/>
    <s v="03"/>
  </r>
  <r>
    <s v="B004"/>
    <s v="Rohan Das"/>
    <n v="28"/>
    <s v="M"/>
    <x v="3"/>
    <n v="53100"/>
    <s v="10-01-2026"/>
    <x v="0"/>
    <s v="26-30"/>
    <s v="01"/>
  </r>
  <r>
    <s v="B005"/>
    <s v="Aisha Khan"/>
    <n v="37"/>
    <s v="M"/>
    <x v="4"/>
    <n v="66096"/>
    <s v="16-03-2026"/>
    <x v="0"/>
    <s v="36-40"/>
    <s v="03"/>
  </r>
  <r>
    <s v="B006"/>
    <s v="Ananya Das"/>
    <n v="37"/>
    <s v="F"/>
    <x v="2"/>
    <n v="18862"/>
    <s v="17-01-2026"/>
    <x v="0"/>
    <s v="36-40"/>
    <s v="01"/>
  </r>
  <r>
    <s v="B007"/>
    <s v="Nikhil Joshi"/>
    <n v="45"/>
    <s v="M"/>
    <x v="5"/>
    <n v="20203"/>
    <s v="12-06-2026"/>
    <x v="0"/>
    <s v="41-45"/>
    <s v="06"/>
  </r>
  <r>
    <s v="B008"/>
    <s v="Nikhil Joshi"/>
    <n v="37"/>
    <s v="F"/>
    <x v="4"/>
    <n v="63466"/>
    <s v="20-04-2026"/>
    <x v="0"/>
    <s v="36-40"/>
    <s v="04"/>
  </r>
  <r>
    <s v="B009"/>
    <s v="Sarthak Roy"/>
    <n v="26"/>
    <s v="M"/>
    <x v="1"/>
    <n v="21132"/>
    <s v="10-05-2026"/>
    <x v="0"/>
    <s v="26-30"/>
    <s v="05"/>
  </r>
  <r>
    <s v="B010"/>
    <s v="Harsh Vardhan"/>
    <n v="35"/>
    <s v="M"/>
    <x v="4"/>
    <n v="83720"/>
    <s v="09-05-2026"/>
    <x v="0"/>
    <s v="31-35"/>
    <s v="05"/>
  </r>
  <r>
    <s v="B011"/>
    <s v="Vikram Rao"/>
    <n v="31"/>
    <s v="F"/>
    <x v="5"/>
    <n v="19702"/>
    <s v="20-05-2026"/>
    <x v="0"/>
    <s v="31-35"/>
    <s v="05"/>
  </r>
  <r>
    <s v="B012"/>
    <s v="Karan Mehta"/>
    <n v="47"/>
    <s v="M"/>
    <x v="3"/>
    <n v="74661"/>
    <s v="12-04-2026"/>
    <x v="1"/>
    <s v="46-50"/>
    <s v="04"/>
  </r>
  <r>
    <s v="B013"/>
    <s v="Vikram Rao"/>
    <n v="50"/>
    <s v="M"/>
    <x v="0"/>
    <n v="30752"/>
    <s v="18-02-2026"/>
    <x v="1"/>
    <s v="46-50"/>
    <s v="02"/>
  </r>
  <r>
    <s v="B014"/>
    <s v="Sarthak Roy"/>
    <n v="35"/>
    <s v="M"/>
    <x v="2"/>
    <n v="14087"/>
    <s v="21-03-2026"/>
    <x v="1"/>
    <s v="31-35"/>
    <s v="03"/>
  </r>
  <r>
    <s v="B015"/>
    <s v="Pooja Nair"/>
    <n v="30"/>
    <s v="F"/>
    <x v="1"/>
    <n v="22495"/>
    <s v="17-05-2026"/>
    <x v="0"/>
    <s v="26-30"/>
    <s v="05"/>
  </r>
  <r>
    <s v="B016"/>
    <s v="Meera Iyer"/>
    <n v="50"/>
    <s v="F"/>
    <x v="0"/>
    <n v="35549"/>
    <s v="21-03-2026"/>
    <x v="0"/>
    <s v="46-50"/>
    <s v="03"/>
  </r>
  <r>
    <s v="B017"/>
    <s v="Pooja Nair"/>
    <n v="23"/>
    <s v="M"/>
    <x v="4"/>
    <n v="77553"/>
    <s v="15-01-2026"/>
    <x v="0"/>
    <s v="21-25"/>
    <s v="01"/>
  </r>
  <r>
    <s v="B018"/>
    <s v="Rahul Sharma"/>
    <n v="40"/>
    <s v="M"/>
    <x v="5"/>
    <n v="24026"/>
    <s v="24-06-2026"/>
    <x v="1"/>
    <s v="36-40"/>
    <s v="06"/>
  </r>
  <r>
    <s v="B019"/>
    <s v="Sarthak Roy"/>
    <n v="36"/>
    <s v="F"/>
    <x v="3"/>
    <n v="68263"/>
    <s v="04-02-2026"/>
    <x v="1"/>
    <s v="36-40"/>
    <s v="02"/>
  </r>
  <r>
    <s v="B020"/>
    <s v="Meera Iyer"/>
    <n v="38"/>
    <s v="F"/>
    <x v="0"/>
    <n v="38063"/>
    <s v="12-03-2026"/>
    <x v="0"/>
    <s v="36-40"/>
    <s v="03"/>
  </r>
  <r>
    <s v="B021"/>
    <s v="Aman Jain"/>
    <n v="37"/>
    <s v="M"/>
    <x v="4"/>
    <n v="76289"/>
    <s v="12-06-2026"/>
    <x v="0"/>
    <s v="36-40"/>
    <s v="06"/>
  </r>
  <r>
    <s v="B022"/>
    <s v="Ananya Das"/>
    <n v="38"/>
    <s v="F"/>
    <x v="2"/>
    <n v="16923"/>
    <s v="05-06-2026"/>
    <x v="0"/>
    <s v="36-40"/>
    <s v="06"/>
  </r>
  <r>
    <s v="B023"/>
    <s v="Harsh Vardhan"/>
    <n v="22"/>
    <s v="F"/>
    <x v="0"/>
    <n v="36647"/>
    <s v="04-05-2026"/>
    <x v="0"/>
    <s v="21-25"/>
    <s v="05"/>
  </r>
  <r>
    <s v="B024"/>
    <s v="Harsh Vardhan"/>
    <n v="49"/>
    <s v="M"/>
    <x v="0"/>
    <n v="27606"/>
    <s v="22-06-2026"/>
    <x v="0"/>
    <s v="46-50"/>
    <s v="06"/>
  </r>
  <r>
    <s v="B025"/>
    <s v="Ritika Sharma"/>
    <n v="33"/>
    <s v="F"/>
    <x v="2"/>
    <n v="21394"/>
    <s v="10-01-2026"/>
    <x v="0"/>
    <s v="31-35"/>
    <s v="01"/>
  </r>
  <r>
    <s v="B026"/>
    <s v="Ritika Sharma"/>
    <n v="43"/>
    <s v="F"/>
    <x v="3"/>
    <n v="54115"/>
    <s v="08-05-2026"/>
    <x v="1"/>
    <s v="41-45"/>
    <s v="05"/>
  </r>
  <r>
    <s v="B027"/>
    <s v="Rohan Das"/>
    <n v="29"/>
    <s v="M"/>
    <x v="2"/>
    <n v="18362"/>
    <s v="19-02-2026"/>
    <x v="0"/>
    <s v="26-30"/>
    <s v="02"/>
  </r>
  <r>
    <s v="B028"/>
    <s v="Rohan Das"/>
    <n v="44"/>
    <s v="F"/>
    <x v="4"/>
    <n v="83794"/>
    <s v="13-03-2026"/>
    <x v="0"/>
    <s v="41-45"/>
    <s v="03"/>
  </r>
  <r>
    <s v="B029"/>
    <s v="Rahul Sharma"/>
    <n v="35"/>
    <s v="F"/>
    <x v="4"/>
    <n v="65602"/>
    <s v="19-05-2026"/>
    <x v="0"/>
    <s v="31-35"/>
    <s v="05"/>
  </r>
  <r>
    <s v="B030"/>
    <s v="Yash Gupta"/>
    <n v="23"/>
    <s v="M"/>
    <x v="0"/>
    <n v="34041"/>
    <s v="06-03-2026"/>
    <x v="0"/>
    <s v="21-25"/>
    <s v="03"/>
  </r>
  <r>
    <s v="B031"/>
    <s v="Rahul Sharma"/>
    <n v="24"/>
    <s v="M"/>
    <x v="2"/>
    <n v="18636"/>
    <s v="12-05-2026"/>
    <x v="0"/>
    <s v="21-25"/>
    <s v="05"/>
  </r>
  <r>
    <s v="B032"/>
    <s v="Sarthak Roy"/>
    <n v="28"/>
    <s v="M"/>
    <x v="0"/>
    <n v="32850"/>
    <s v="27-06-2026"/>
    <x v="0"/>
    <s v="26-30"/>
    <s v="06"/>
  </r>
  <r>
    <s v="B033"/>
    <s v="Priya Singh"/>
    <n v="26"/>
    <s v="M"/>
    <x v="1"/>
    <n v="20727"/>
    <s v="17-03-2026"/>
    <x v="0"/>
    <s v="26-30"/>
    <s v="03"/>
  </r>
  <r>
    <s v="B034"/>
    <s v="Sarthak Roy"/>
    <n v="50"/>
    <s v="M"/>
    <x v="2"/>
    <n v="17254"/>
    <s v="28-04-2026"/>
    <x v="0"/>
    <s v="46-50"/>
    <s v="04"/>
  </r>
  <r>
    <s v="B035"/>
    <s v="Arjun Kumar"/>
    <n v="34"/>
    <s v="F"/>
    <x v="5"/>
    <n v="16601"/>
    <s v="31-01-2026"/>
    <x v="0"/>
    <s v="31-35"/>
    <s v="01"/>
  </r>
  <r>
    <s v="B036"/>
    <s v="Aman Jain"/>
    <n v="28"/>
    <s v="M"/>
    <x v="0"/>
    <n v="34511"/>
    <s v="28-02-2026"/>
    <x v="0"/>
    <s v="26-30"/>
    <s v="02"/>
  </r>
  <r>
    <s v="B037"/>
    <s v="Rohan Das"/>
    <n v="27"/>
    <s v="F"/>
    <x v="3"/>
    <n v="72618"/>
    <s v="08-01-2026"/>
    <x v="0"/>
    <s v="26-30"/>
    <s v="01"/>
  </r>
  <r>
    <s v="B038"/>
    <s v="Rahul Sharma"/>
    <n v="25"/>
    <s v="M"/>
    <x v="0"/>
    <n v="26325"/>
    <s v="13-05-2026"/>
    <x v="0"/>
    <s v="21-25"/>
    <s v="05"/>
  </r>
  <r>
    <s v="B039"/>
    <s v="Nikhil Joshi"/>
    <n v="44"/>
    <s v="M"/>
    <x v="2"/>
    <n v="17651"/>
    <s v="22-02-2026"/>
    <x v="0"/>
    <s v="41-45"/>
    <s v="02"/>
  </r>
  <r>
    <s v="B040"/>
    <s v="Aditya Verma"/>
    <n v="33"/>
    <s v="M"/>
    <x v="2"/>
    <n v="19378"/>
    <s v="20-04-2026"/>
    <x v="0"/>
    <s v="31-35"/>
    <s v="04"/>
  </r>
  <r>
    <s v="B041"/>
    <s v="Yash Gupta"/>
    <n v="37"/>
    <s v="F"/>
    <x v="3"/>
    <n v="53612"/>
    <s v="04-03-2026"/>
    <x v="0"/>
    <s v="36-40"/>
    <s v="03"/>
  </r>
  <r>
    <s v="B042"/>
    <s v="Sarthak Roy"/>
    <n v="31"/>
    <s v="F"/>
    <x v="3"/>
    <n v="59321"/>
    <s v="02-06-2026"/>
    <x v="0"/>
    <s v="31-35"/>
    <s v="06"/>
  </r>
  <r>
    <s v="B043"/>
    <s v="Ananya Das"/>
    <n v="21"/>
    <s v="M"/>
    <x v="5"/>
    <n v="21669"/>
    <s v="05-05-2026"/>
    <x v="0"/>
    <s v="21-25"/>
    <s v="05"/>
  </r>
  <r>
    <s v="B044"/>
    <s v="Vikram Rao"/>
    <n v="31"/>
    <s v="F"/>
    <x v="4"/>
    <n v="63695"/>
    <s v="18-02-2026"/>
    <x v="0"/>
    <s v="31-35"/>
    <s v="02"/>
  </r>
  <r>
    <s v="B045"/>
    <s v="Meera Iyer"/>
    <n v="47"/>
    <s v="M"/>
    <x v="2"/>
    <n v="16137"/>
    <s v="28-04-2026"/>
    <x v="0"/>
    <s v="46-50"/>
    <s v="04"/>
  </r>
  <r>
    <s v="B046"/>
    <s v="Sneha Patel"/>
    <n v="48"/>
    <s v="F"/>
    <x v="0"/>
    <n v="26581"/>
    <s v="16-04-2026"/>
    <x v="0"/>
    <s v="46-50"/>
    <s v="04"/>
  </r>
  <r>
    <s v="B047"/>
    <s v="Ananya Das"/>
    <n v="40"/>
    <s v="F"/>
    <x v="1"/>
    <n v="19510"/>
    <s v="19-01-2026"/>
    <x v="1"/>
    <s v="36-40"/>
    <s v="01"/>
  </r>
  <r>
    <s v="B048"/>
    <s v="Kavya Reddy"/>
    <n v="45"/>
    <s v="F"/>
    <x v="2"/>
    <n v="18575"/>
    <s v="29-01-2026"/>
    <x v="1"/>
    <s v="41-45"/>
    <s v="01"/>
  </r>
  <r>
    <s v="B049"/>
    <s v="Kavya Reddy"/>
    <n v="27"/>
    <s v="F"/>
    <x v="0"/>
    <n v="29381"/>
    <s v="08-02-2026"/>
    <x v="0"/>
    <s v="26-30"/>
    <s v="02"/>
  </r>
  <r>
    <s v="B050"/>
    <s v="Meera Iyer"/>
    <n v="34"/>
    <s v="M"/>
    <x v="5"/>
    <n v="24065"/>
    <s v="02-02-2026"/>
    <x v="1"/>
    <s v="31-35"/>
    <s v="02"/>
  </r>
  <r>
    <s v="B051"/>
    <s v="Nikhil Joshi"/>
    <n v="43"/>
    <s v="F"/>
    <x v="2"/>
    <n v="18884"/>
    <s v="10-06-2026"/>
    <x v="0"/>
    <s v="41-45"/>
    <s v="06"/>
  </r>
  <r>
    <s v="B052"/>
    <s v="Karan Mehta"/>
    <n v="45"/>
    <s v="M"/>
    <x v="2"/>
    <n v="17525"/>
    <s v="16-02-2026"/>
    <x v="0"/>
    <s v="41-45"/>
    <s v="02"/>
  </r>
  <r>
    <s v="B053"/>
    <s v="Kavya Reddy"/>
    <n v="39"/>
    <s v="F"/>
    <x v="5"/>
    <n v="23867"/>
    <s v="25-02-2026"/>
    <x v="0"/>
    <s v="36-40"/>
    <s v="02"/>
  </r>
  <r>
    <s v="B054"/>
    <s v="Arjun Kumar"/>
    <n v="21"/>
    <s v="F"/>
    <x v="0"/>
    <n v="32638"/>
    <s v="01-03-2026"/>
    <x v="0"/>
    <s v="21-25"/>
    <s v="03"/>
  </r>
  <r>
    <s v="B055"/>
    <s v="Ritika Sharma"/>
    <n v="21"/>
    <s v="M"/>
    <x v="5"/>
    <n v="24707"/>
    <s v="06-03-2026"/>
    <x v="0"/>
    <s v="21-25"/>
    <s v="03"/>
  </r>
  <r>
    <s v="B056"/>
    <s v="Arjun Kumar"/>
    <n v="22"/>
    <s v="F"/>
    <x v="0"/>
    <n v="30819"/>
    <s v="14-02-2026"/>
    <x v="0"/>
    <s v="21-25"/>
    <s v="02"/>
  </r>
  <r>
    <s v="B057"/>
    <s v="Rahul Sharma"/>
    <n v="47"/>
    <s v="M"/>
    <x v="1"/>
    <n v="26550"/>
    <s v="27-06-2026"/>
    <x v="1"/>
    <s v="46-50"/>
    <s v="06"/>
  </r>
  <r>
    <s v="B058"/>
    <s v="Ananya Das"/>
    <n v="24"/>
    <s v="F"/>
    <x v="3"/>
    <n v="71391"/>
    <s v="06-06-2026"/>
    <x v="1"/>
    <s v="21-25"/>
    <s v="06"/>
  </r>
  <r>
    <s v="B059"/>
    <s v="Sneha Patel"/>
    <n v="42"/>
    <s v="M"/>
    <x v="0"/>
    <n v="35668"/>
    <s v="31-01-2026"/>
    <x v="0"/>
    <s v="41-45"/>
    <s v="01"/>
  </r>
  <r>
    <s v="B060"/>
    <s v="Meera Iyer"/>
    <n v="35"/>
    <s v="F"/>
    <x v="2"/>
    <n v="20712"/>
    <s v="23-01-2026"/>
    <x v="0"/>
    <s v="31-35"/>
    <s v="01"/>
  </r>
  <r>
    <s v="B061"/>
    <s v="Yash Gupta"/>
    <n v="40"/>
    <s v="F"/>
    <x v="4"/>
    <n v="76031"/>
    <s v="27-02-2026"/>
    <x v="0"/>
    <s v="36-40"/>
    <s v="02"/>
  </r>
  <r>
    <s v="B062"/>
    <s v="Meera Iyer"/>
    <n v="49"/>
    <s v="M"/>
    <x v="2"/>
    <n v="18174"/>
    <s v="01-01-2026"/>
    <x v="0"/>
    <s v="46-50"/>
    <s v="01"/>
  </r>
  <r>
    <s v="B063"/>
    <s v="Aditya Verma"/>
    <n v="30"/>
    <s v="M"/>
    <x v="2"/>
    <n v="16020"/>
    <s v="07-01-2026"/>
    <x v="0"/>
    <s v="26-30"/>
    <s v="01"/>
  </r>
  <r>
    <s v="B064"/>
    <s v="Kavya Reddy"/>
    <n v="25"/>
    <s v="F"/>
    <x v="3"/>
    <n v="52388"/>
    <s v="20-04-2026"/>
    <x v="0"/>
    <s v="21-25"/>
    <s v="04"/>
  </r>
  <r>
    <s v="B065"/>
    <s v="Aman Jain"/>
    <n v="22"/>
    <s v="F"/>
    <x v="1"/>
    <n v="24710"/>
    <s v="01-06-2026"/>
    <x v="0"/>
    <s v="21-25"/>
    <s v="06"/>
  </r>
  <r>
    <s v="B066"/>
    <s v="Rohan Das"/>
    <n v="40"/>
    <s v="F"/>
    <x v="2"/>
    <n v="17201"/>
    <s v="18-01-2026"/>
    <x v="0"/>
    <s v="36-40"/>
    <s v="01"/>
  </r>
  <r>
    <s v="B067"/>
    <s v="Sarthak Roy"/>
    <n v="28"/>
    <s v="M"/>
    <x v="0"/>
    <n v="35215"/>
    <s v="16-01-2026"/>
    <x v="1"/>
    <s v="26-30"/>
    <s v="01"/>
  </r>
  <r>
    <s v="B068"/>
    <s v="Aman Jain"/>
    <n v="38"/>
    <s v="F"/>
    <x v="2"/>
    <n v="17216"/>
    <s v="14-01-2026"/>
    <x v="0"/>
    <s v="36-40"/>
    <s v="01"/>
  </r>
  <r>
    <s v="B069"/>
    <s v="Aman Jain"/>
    <n v="32"/>
    <s v="F"/>
    <x v="2"/>
    <n v="19928"/>
    <s v="25-01-2026"/>
    <x v="0"/>
    <s v="31-35"/>
    <s v="01"/>
  </r>
  <r>
    <s v="B070"/>
    <s v="Karan Mehta"/>
    <n v="23"/>
    <s v="F"/>
    <x v="1"/>
    <n v="23528"/>
    <s v="09-04-2026"/>
    <x v="0"/>
    <s v="21-25"/>
    <s v="04"/>
  </r>
  <r>
    <s v="B071"/>
    <s v="Aman Jain"/>
    <n v="38"/>
    <s v="M"/>
    <x v="3"/>
    <n v="60881"/>
    <s v="15-01-2026"/>
    <x v="0"/>
    <s v="36-40"/>
    <s v="01"/>
  </r>
  <r>
    <s v="B072"/>
    <s v="Aditya Verma"/>
    <n v="47"/>
    <s v="F"/>
    <x v="5"/>
    <n v="19679"/>
    <s v="14-02-2026"/>
    <x v="1"/>
    <s v="46-50"/>
    <s v="02"/>
  </r>
  <r>
    <s v="B073"/>
    <s v="Yash Gupta"/>
    <n v="47"/>
    <s v="F"/>
    <x v="0"/>
    <n v="27720"/>
    <s v="28-06-2026"/>
    <x v="0"/>
    <s v="46-50"/>
    <s v="06"/>
  </r>
  <r>
    <s v="B074"/>
    <s v="Rohan Das"/>
    <n v="35"/>
    <s v="F"/>
    <x v="3"/>
    <n v="70814"/>
    <s v="14-02-2026"/>
    <x v="0"/>
    <s v="31-35"/>
    <s v="02"/>
  </r>
  <r>
    <s v="B075"/>
    <s v="Karan Mehta"/>
    <n v="40"/>
    <s v="M"/>
    <x v="3"/>
    <n v="55709"/>
    <s v="16-02-2026"/>
    <x v="0"/>
    <s v="36-40"/>
    <s v="02"/>
  </r>
  <r>
    <s v="B076"/>
    <s v="Vikram Rao"/>
    <n v="42"/>
    <s v="F"/>
    <x v="0"/>
    <n v="26722"/>
    <s v="08-02-2026"/>
    <x v="0"/>
    <s v="41-45"/>
    <s v="02"/>
  </r>
  <r>
    <s v="B077"/>
    <s v="Priya Singh"/>
    <n v="39"/>
    <s v="F"/>
    <x v="4"/>
    <n v="57093"/>
    <s v="13-04-2026"/>
    <x v="0"/>
    <s v="36-40"/>
    <s v="04"/>
  </r>
  <r>
    <s v="B078"/>
    <s v="Ananya Das"/>
    <n v="33"/>
    <s v="M"/>
    <x v="3"/>
    <n v="59865"/>
    <s v="27-01-2026"/>
    <x v="0"/>
    <s v="31-35"/>
    <s v="01"/>
  </r>
  <r>
    <s v="B079"/>
    <s v="Kavya Reddy"/>
    <n v="36"/>
    <s v="M"/>
    <x v="0"/>
    <n v="35286"/>
    <s v="20-05-2026"/>
    <x v="1"/>
    <s v="36-40"/>
    <s v="05"/>
  </r>
  <r>
    <s v="B080"/>
    <s v="Pooja Nair"/>
    <n v="29"/>
    <s v="F"/>
    <x v="3"/>
    <n v="55197"/>
    <s v="12-03-2026"/>
    <x v="0"/>
    <s v="26-30"/>
    <s v="03"/>
  </r>
  <r>
    <s v="B081"/>
    <s v="Ananya Das"/>
    <n v="49"/>
    <s v="M"/>
    <x v="0"/>
    <n v="29119"/>
    <s v="16-03-2026"/>
    <x v="0"/>
    <s v="46-50"/>
    <s v="03"/>
  </r>
  <r>
    <s v="B082"/>
    <s v="Meera Iyer"/>
    <n v="30"/>
    <s v="M"/>
    <x v="3"/>
    <n v="53720"/>
    <s v="21-05-2026"/>
    <x v="1"/>
    <s v="26-30"/>
    <s v="05"/>
  </r>
  <r>
    <s v="B083"/>
    <s v="Vikram Rao"/>
    <n v="40"/>
    <s v="F"/>
    <x v="1"/>
    <n v="24258"/>
    <s v="24-03-2026"/>
    <x v="0"/>
    <s v="36-40"/>
    <s v="03"/>
  </r>
  <r>
    <s v="B084"/>
    <s v="Rohan Das"/>
    <n v="33"/>
    <s v="M"/>
    <x v="4"/>
    <n v="58107"/>
    <s v="03-04-2026"/>
    <x v="1"/>
    <s v="31-35"/>
    <s v="04"/>
  </r>
  <r>
    <s v="B085"/>
    <s v="Ritika Sharma"/>
    <n v="33"/>
    <s v="M"/>
    <x v="4"/>
    <n v="57004"/>
    <s v="29-06-2026"/>
    <x v="0"/>
    <s v="31-35"/>
    <s v="06"/>
  </r>
  <r>
    <s v="B086"/>
    <s v="Arjun Kumar"/>
    <n v="42"/>
    <s v="F"/>
    <x v="2"/>
    <n v="15429"/>
    <s v="28-04-2026"/>
    <x v="0"/>
    <s v="41-45"/>
    <s v="04"/>
  </r>
  <r>
    <s v="B087"/>
    <s v="Sarthak Roy"/>
    <n v="39"/>
    <s v="M"/>
    <x v="4"/>
    <n v="57750"/>
    <s v="19-03-2026"/>
    <x v="0"/>
    <s v="36-40"/>
    <s v="03"/>
  </r>
  <r>
    <s v="B088"/>
    <s v="Kavya Reddy"/>
    <n v="24"/>
    <s v="F"/>
    <x v="3"/>
    <n v="66673"/>
    <s v="30-05-2026"/>
    <x v="0"/>
    <s v="21-25"/>
    <s v="05"/>
  </r>
  <r>
    <s v="B089"/>
    <s v="Vikram Rao"/>
    <n v="47"/>
    <s v="F"/>
    <x v="2"/>
    <n v="21880"/>
    <s v="03-04-2026"/>
    <x v="0"/>
    <s v="46-50"/>
    <s v="04"/>
  </r>
  <r>
    <s v="B090"/>
    <s v="Sarthak Roy"/>
    <n v="37"/>
    <s v="F"/>
    <x v="5"/>
    <n v="23099"/>
    <s v="24-04-2026"/>
    <x v="0"/>
    <s v="36-40"/>
    <s v="04"/>
  </r>
  <r>
    <s v="B091"/>
    <s v="Pooja Nair"/>
    <n v="49"/>
    <s v="F"/>
    <x v="0"/>
    <n v="25469"/>
    <s v="07-01-2026"/>
    <x v="0"/>
    <s v="46-50"/>
    <s v="01"/>
  </r>
  <r>
    <s v="B092"/>
    <s v="Neha Gupta"/>
    <n v="50"/>
    <s v="F"/>
    <x v="4"/>
    <n v="65510"/>
    <s v="07-05-2026"/>
    <x v="0"/>
    <s v="46-50"/>
    <s v="05"/>
  </r>
  <r>
    <s v="B093"/>
    <s v="Sarthak Roy"/>
    <n v="45"/>
    <s v="F"/>
    <x v="5"/>
    <n v="21509"/>
    <s v="04-05-2026"/>
    <x v="0"/>
    <s v="41-45"/>
    <s v="05"/>
  </r>
  <r>
    <s v="B094"/>
    <s v="Yash Gupta"/>
    <n v="43"/>
    <s v="M"/>
    <x v="0"/>
    <n v="38662"/>
    <s v="11-05-2026"/>
    <x v="1"/>
    <s v="41-45"/>
    <s v="05"/>
  </r>
  <r>
    <s v="B095"/>
    <s v="Rahul Sharma"/>
    <n v="24"/>
    <s v="M"/>
    <x v="3"/>
    <n v="53874"/>
    <s v="16-04-2026"/>
    <x v="1"/>
    <s v="21-25"/>
    <s v="04"/>
  </r>
  <r>
    <s v="B096"/>
    <s v="Yash Gupta"/>
    <n v="25"/>
    <s v="M"/>
    <x v="4"/>
    <n v="67948"/>
    <s v="23-04-2026"/>
    <x v="0"/>
    <s v="21-25"/>
    <s v="04"/>
  </r>
  <r>
    <s v="B097"/>
    <s v="Rohan Das"/>
    <n v="39"/>
    <s v="M"/>
    <x v="1"/>
    <n v="18926"/>
    <s v="02-05-2026"/>
    <x v="0"/>
    <s v="36-40"/>
    <s v="05"/>
  </r>
  <r>
    <s v="B098"/>
    <s v="Aditya Verma"/>
    <n v="24"/>
    <s v="M"/>
    <x v="5"/>
    <n v="22891"/>
    <s v="19-02-2026"/>
    <x v="1"/>
    <s v="21-25"/>
    <s v="02"/>
  </r>
  <r>
    <s v="B099"/>
    <s v="Pooja Nair"/>
    <n v="44"/>
    <s v="F"/>
    <x v="5"/>
    <n v="21644"/>
    <s v="05-02-2026"/>
    <x v="0"/>
    <s v="41-45"/>
    <s v="02"/>
  </r>
  <r>
    <s v="B100"/>
    <s v="Rahul Sharma"/>
    <n v="23"/>
    <s v="F"/>
    <x v="3"/>
    <n v="69832"/>
    <s v="09-01-2026"/>
    <x v="1"/>
    <s v="21-25"/>
    <s v="01"/>
  </r>
  <r>
    <s v="B101"/>
    <s v="Pooja Nair"/>
    <n v="38"/>
    <s v="M"/>
    <x v="3"/>
    <n v="57289"/>
    <s v="19-01-2026"/>
    <x v="0"/>
    <s v="36-40"/>
    <s v="01"/>
  </r>
  <r>
    <s v="B102"/>
    <s v="Vikram Rao"/>
    <n v="22"/>
    <s v="F"/>
    <x v="4"/>
    <n v="64772"/>
    <s v="05-04-2026"/>
    <x v="1"/>
    <s v="21-25"/>
    <s v="04"/>
  </r>
  <r>
    <s v="B103"/>
    <s v="Sarthak Roy"/>
    <n v="37"/>
    <s v="M"/>
    <x v="1"/>
    <n v="19759"/>
    <s v="01-05-2026"/>
    <x v="0"/>
    <s v="36-40"/>
    <s v="05"/>
  </r>
  <r>
    <s v="B104"/>
    <s v="Priya Singh"/>
    <n v="24"/>
    <s v="M"/>
    <x v="3"/>
    <n v="60115"/>
    <s v="20-01-2026"/>
    <x v="0"/>
    <s v="21-25"/>
    <s v="01"/>
  </r>
  <r>
    <s v="B105"/>
    <s v="Aisha Khan"/>
    <n v="24"/>
    <s v="M"/>
    <x v="5"/>
    <n v="20799"/>
    <s v="28-04-2026"/>
    <x v="0"/>
    <s v="21-25"/>
    <s v="04"/>
  </r>
  <r>
    <s v="B106"/>
    <s v="Neha Gupta"/>
    <n v="23"/>
    <s v="M"/>
    <x v="3"/>
    <n v="51601"/>
    <s v="16-06-2026"/>
    <x v="0"/>
    <s v="21-25"/>
    <s v="06"/>
  </r>
  <r>
    <s v="B107"/>
    <s v="Kavya Reddy"/>
    <n v="44"/>
    <s v="F"/>
    <x v="5"/>
    <n v="15325"/>
    <s v="19-06-2026"/>
    <x v="0"/>
    <s v="41-45"/>
    <s v="06"/>
  </r>
  <r>
    <s v="B108"/>
    <s v="Meera Iyer"/>
    <n v="24"/>
    <s v="M"/>
    <x v="3"/>
    <n v="51352"/>
    <s v="14-03-2026"/>
    <x v="1"/>
    <s v="21-25"/>
    <s v="03"/>
  </r>
  <r>
    <s v="B109"/>
    <s v="Ananya Das"/>
    <n v="42"/>
    <s v="F"/>
    <x v="2"/>
    <n v="21453"/>
    <s v="11-05-2026"/>
    <x v="0"/>
    <s v="41-45"/>
    <s v="05"/>
  </r>
  <r>
    <s v="B110"/>
    <s v="Vikram Rao"/>
    <n v="43"/>
    <s v="F"/>
    <x v="0"/>
    <n v="26490"/>
    <s v="27-01-2026"/>
    <x v="0"/>
    <s v="41-45"/>
    <s v="01"/>
  </r>
  <r>
    <s v="B111"/>
    <s v="Sneha Patel"/>
    <n v="34"/>
    <s v="M"/>
    <x v="5"/>
    <n v="19272"/>
    <s v="05-03-2026"/>
    <x v="1"/>
    <s v="31-35"/>
    <s v="03"/>
  </r>
  <r>
    <s v="B112"/>
    <s v="Priya Singh"/>
    <n v="39"/>
    <s v="F"/>
    <x v="3"/>
    <n v="71265"/>
    <s v="28-02-2026"/>
    <x v="1"/>
    <s v="36-40"/>
    <s v="02"/>
  </r>
  <r>
    <s v="B113"/>
    <s v="Arjun Kumar"/>
    <n v="41"/>
    <s v="M"/>
    <x v="4"/>
    <n v="56123"/>
    <s v="12-06-2026"/>
    <x v="0"/>
    <s v="41-45"/>
    <s v="06"/>
  </r>
  <r>
    <s v="B114"/>
    <s v="Ritika Sharma"/>
    <n v="44"/>
    <s v="F"/>
    <x v="2"/>
    <n v="20285"/>
    <s v="10-04-2026"/>
    <x v="0"/>
    <s v="41-45"/>
    <s v="04"/>
  </r>
  <r>
    <s v="B115"/>
    <s v="Meera Iyer"/>
    <n v="37"/>
    <s v="M"/>
    <x v="5"/>
    <n v="19396"/>
    <s v="09-06-2026"/>
    <x v="1"/>
    <s v="36-40"/>
    <s v="06"/>
  </r>
  <r>
    <s v="B116"/>
    <s v="Karan Mehta"/>
    <n v="42"/>
    <s v="M"/>
    <x v="5"/>
    <n v="16817"/>
    <s v="06-01-2026"/>
    <x v="1"/>
    <s v="41-45"/>
    <s v="01"/>
  </r>
  <r>
    <s v="B117"/>
    <s v="Aman Jain"/>
    <n v="25"/>
    <s v="M"/>
    <x v="3"/>
    <n v="56948"/>
    <s v="12-02-2026"/>
    <x v="1"/>
    <s v="21-25"/>
    <s v="02"/>
  </r>
  <r>
    <s v="B118"/>
    <s v="Sneha Patel"/>
    <n v="36"/>
    <s v="F"/>
    <x v="3"/>
    <n v="64851"/>
    <s v="21-02-2026"/>
    <x v="1"/>
    <s v="36-40"/>
    <s v="02"/>
  </r>
  <r>
    <s v="B119"/>
    <s v="Neha Gupta"/>
    <n v="24"/>
    <s v="F"/>
    <x v="5"/>
    <n v="23320"/>
    <s v="03-05-2026"/>
    <x v="0"/>
    <s v="21-25"/>
    <s v="05"/>
  </r>
  <r>
    <s v="B120"/>
    <s v="Pooja Nair"/>
    <n v="41"/>
    <s v="M"/>
    <x v="1"/>
    <n v="21139"/>
    <s v="17-05-2026"/>
    <x v="0"/>
    <s v="41-45"/>
    <s v="05"/>
  </r>
  <r>
    <s v="B121"/>
    <s v="Ritika Sharma"/>
    <n v="30"/>
    <s v="F"/>
    <x v="5"/>
    <n v="19819"/>
    <s v="24-01-2026"/>
    <x v="0"/>
    <s v="26-30"/>
    <s v="01"/>
  </r>
  <r>
    <s v="B122"/>
    <s v="Pooja Nair"/>
    <n v="47"/>
    <s v="M"/>
    <x v="1"/>
    <n v="22925"/>
    <s v="11-04-2026"/>
    <x v="1"/>
    <s v="46-50"/>
    <s v="04"/>
  </r>
  <r>
    <s v="B123"/>
    <s v="Sneha Patel"/>
    <n v="38"/>
    <s v="M"/>
    <x v="4"/>
    <n v="83411"/>
    <s v="01-02-2026"/>
    <x v="0"/>
    <s v="36-40"/>
    <s v="02"/>
  </r>
  <r>
    <s v="B124"/>
    <s v="Pooja Nair"/>
    <n v="35"/>
    <s v="M"/>
    <x v="2"/>
    <n v="18249"/>
    <s v="16-04-2026"/>
    <x v="0"/>
    <s v="31-35"/>
    <s v="04"/>
  </r>
  <r>
    <s v="B125"/>
    <s v="Aman Jain"/>
    <n v="50"/>
    <s v="F"/>
    <x v="3"/>
    <n v="50046"/>
    <s v="11-04-2026"/>
    <x v="0"/>
    <s v="46-50"/>
    <s v="04"/>
  </r>
  <r>
    <s v="B126"/>
    <s v="Aman Jain"/>
    <n v="45"/>
    <s v="F"/>
    <x v="4"/>
    <n v="78802"/>
    <s v="26-02-2026"/>
    <x v="0"/>
    <s v="41-45"/>
    <s v="02"/>
  </r>
  <r>
    <s v="B127"/>
    <s v="Karan Mehta"/>
    <n v="37"/>
    <s v="F"/>
    <x v="3"/>
    <n v="59638"/>
    <s v="10-04-2026"/>
    <x v="1"/>
    <s v="36-40"/>
    <s v="04"/>
  </r>
  <r>
    <s v="B128"/>
    <s v="Harsh Vardhan"/>
    <n v="26"/>
    <s v="F"/>
    <x v="4"/>
    <n v="70078"/>
    <s v="02-04-2026"/>
    <x v="0"/>
    <s v="26-30"/>
    <s v="04"/>
  </r>
  <r>
    <s v="B129"/>
    <s v="Ritika Sharma"/>
    <n v="33"/>
    <s v="M"/>
    <x v="5"/>
    <n v="18881"/>
    <s v="27-06-2026"/>
    <x v="0"/>
    <s v="31-35"/>
    <s v="06"/>
  </r>
  <r>
    <s v="B130"/>
    <s v="Aman Jain"/>
    <n v="30"/>
    <s v="M"/>
    <x v="1"/>
    <n v="27543"/>
    <s v="06-03-2026"/>
    <x v="1"/>
    <s v="26-30"/>
    <s v="03"/>
  </r>
  <r>
    <s v="B131"/>
    <s v="Aman Jain"/>
    <n v="45"/>
    <s v="M"/>
    <x v="3"/>
    <n v="62806"/>
    <s v="07-03-2026"/>
    <x v="1"/>
    <s v="41-45"/>
    <s v="03"/>
  </r>
  <r>
    <s v="B132"/>
    <s v="Pooja Nair"/>
    <n v="22"/>
    <s v="F"/>
    <x v="3"/>
    <n v="64562"/>
    <s v="16-05-2026"/>
    <x v="0"/>
    <s v="21-25"/>
    <s v="05"/>
  </r>
  <r>
    <s v="B133"/>
    <s v="Kavya Reddy"/>
    <n v="41"/>
    <s v="M"/>
    <x v="4"/>
    <n v="61693"/>
    <s v="19-04-2026"/>
    <x v="0"/>
    <s v="41-45"/>
    <s v="04"/>
  </r>
  <r>
    <s v="B134"/>
    <s v="Priya Singh"/>
    <n v="40"/>
    <s v="M"/>
    <x v="0"/>
    <n v="39546"/>
    <s v="19-06-2026"/>
    <x v="0"/>
    <s v="36-40"/>
    <s v="06"/>
  </r>
  <r>
    <s v="B135"/>
    <s v="Aditya Verma"/>
    <n v="33"/>
    <s v="M"/>
    <x v="3"/>
    <n v="52169"/>
    <s v="29-06-2026"/>
    <x v="0"/>
    <s v="31-35"/>
    <s v="06"/>
  </r>
  <r>
    <s v="B136"/>
    <s v="Aditya Verma"/>
    <n v="34"/>
    <s v="M"/>
    <x v="4"/>
    <n v="82570"/>
    <s v="06-02-2026"/>
    <x v="0"/>
    <s v="31-35"/>
    <s v="02"/>
  </r>
  <r>
    <s v="B137"/>
    <s v="Ananya Das"/>
    <n v="34"/>
    <s v="F"/>
    <x v="3"/>
    <n v="71892"/>
    <s v="03-05-2026"/>
    <x v="0"/>
    <s v="31-35"/>
    <s v="05"/>
  </r>
  <r>
    <s v="B138"/>
    <s v="Meera Iyer"/>
    <n v="23"/>
    <s v="F"/>
    <x v="2"/>
    <n v="18181"/>
    <s v="05-02-2026"/>
    <x v="0"/>
    <s v="21-25"/>
    <s v="02"/>
  </r>
  <r>
    <s v="B139"/>
    <s v="Kavya Reddy"/>
    <n v="25"/>
    <s v="F"/>
    <x v="3"/>
    <n v="55989"/>
    <s v="03-02-2026"/>
    <x v="1"/>
    <s v="21-25"/>
    <s v="02"/>
  </r>
  <r>
    <s v="B140"/>
    <s v="Meera Iyer"/>
    <n v="24"/>
    <s v="M"/>
    <x v="0"/>
    <n v="34107"/>
    <s v="26-04-2026"/>
    <x v="0"/>
    <s v="21-25"/>
    <s v="04"/>
  </r>
  <r>
    <s v="B141"/>
    <s v="Aditya Verma"/>
    <n v="37"/>
    <s v="F"/>
    <x v="1"/>
    <n v="20777"/>
    <s v="05-04-2026"/>
    <x v="0"/>
    <s v="36-40"/>
    <s v="04"/>
  </r>
  <r>
    <s v="B142"/>
    <s v="Kavya Reddy"/>
    <n v="30"/>
    <s v="F"/>
    <x v="5"/>
    <n v="19897"/>
    <s v="29-01-2026"/>
    <x v="0"/>
    <s v="26-30"/>
    <s v="01"/>
  </r>
  <r>
    <s v="B143"/>
    <s v="Nikhil Joshi"/>
    <n v="39"/>
    <s v="M"/>
    <x v="5"/>
    <n v="24132"/>
    <s v="03-05-2026"/>
    <x v="0"/>
    <s v="36-40"/>
    <s v="05"/>
  </r>
  <r>
    <s v="B144"/>
    <s v="Sarthak Roy"/>
    <n v="36"/>
    <s v="F"/>
    <x v="3"/>
    <n v="50468"/>
    <s v="28-02-2026"/>
    <x v="0"/>
    <s v="36-40"/>
    <s v="02"/>
  </r>
  <r>
    <s v="B145"/>
    <s v="Ananya Das"/>
    <n v="50"/>
    <s v="M"/>
    <x v="2"/>
    <n v="19315"/>
    <s v="19-03-2026"/>
    <x v="0"/>
    <s v="46-50"/>
    <s v="03"/>
  </r>
  <r>
    <s v="B146"/>
    <s v="Aditya Verma"/>
    <n v="29"/>
    <s v="M"/>
    <x v="3"/>
    <n v="59349"/>
    <s v="04-01-2026"/>
    <x v="0"/>
    <s v="26-30"/>
    <s v="01"/>
  </r>
  <r>
    <s v="B147"/>
    <s v="Harsh Vardhan"/>
    <n v="22"/>
    <s v="M"/>
    <x v="2"/>
    <n v="14368"/>
    <s v="13-03-2026"/>
    <x v="0"/>
    <s v="21-25"/>
    <s v="03"/>
  </r>
  <r>
    <s v="B148"/>
    <s v="Harsh Vardhan"/>
    <n v="35"/>
    <s v="M"/>
    <x v="4"/>
    <n v="67938"/>
    <s v="26-06-2026"/>
    <x v="0"/>
    <s v="31-35"/>
    <s v="06"/>
  </r>
  <r>
    <s v="B149"/>
    <s v="Sneha Patel"/>
    <n v="37"/>
    <s v="M"/>
    <x v="1"/>
    <n v="18361"/>
    <s v="11-02-2026"/>
    <x v="0"/>
    <s v="36-40"/>
    <s v="02"/>
  </r>
  <r>
    <s v="B150"/>
    <s v="Arjun Kumar"/>
    <n v="33"/>
    <s v="M"/>
    <x v="0"/>
    <n v="38962"/>
    <s v="05-04-2026"/>
    <x v="0"/>
    <s v="31-35"/>
    <s v="04"/>
  </r>
  <r>
    <s v="B151"/>
    <s v="Sarthak Roy"/>
    <n v="23"/>
    <s v="M"/>
    <x v="3"/>
    <n v="74134"/>
    <s v="16-02-2026"/>
    <x v="0"/>
    <s v="21-25"/>
    <s v="02"/>
  </r>
  <r>
    <s v="B152"/>
    <s v="Rahul Sharma"/>
    <n v="31"/>
    <s v="F"/>
    <x v="3"/>
    <n v="58267"/>
    <s v="13-06-2026"/>
    <x v="0"/>
    <s v="31-35"/>
    <s v="06"/>
  </r>
  <r>
    <s v="B153"/>
    <s v="Sarthak Roy"/>
    <n v="30"/>
    <s v="M"/>
    <x v="5"/>
    <n v="24514"/>
    <s v="24-05-2026"/>
    <x v="0"/>
    <s v="26-30"/>
    <s v="05"/>
  </r>
  <r>
    <s v="B154"/>
    <s v="Nikhil Joshi"/>
    <n v="26"/>
    <s v="M"/>
    <x v="0"/>
    <n v="32496"/>
    <s v="02-04-2026"/>
    <x v="0"/>
    <s v="26-30"/>
    <s v="04"/>
  </r>
  <r>
    <s v="B155"/>
    <s v="Vikram Rao"/>
    <n v="33"/>
    <s v="M"/>
    <x v="5"/>
    <n v="15864"/>
    <s v="06-05-2026"/>
    <x v="0"/>
    <s v="31-35"/>
    <s v="05"/>
  </r>
  <r>
    <s v="B156"/>
    <s v="Ritika Sharma"/>
    <n v="32"/>
    <s v="F"/>
    <x v="4"/>
    <n v="81861"/>
    <s v="06-01-2026"/>
    <x v="0"/>
    <s v="31-35"/>
    <s v="01"/>
  </r>
  <r>
    <s v="B157"/>
    <s v="Priya Singh"/>
    <n v="25"/>
    <s v="F"/>
    <x v="2"/>
    <n v="19422"/>
    <s v="15-01-2026"/>
    <x v="0"/>
    <s v="21-25"/>
    <s v="01"/>
  </r>
  <r>
    <s v="B158"/>
    <s v="Ritika Sharma"/>
    <n v="37"/>
    <s v="M"/>
    <x v="1"/>
    <n v="22509"/>
    <s v="27-05-2026"/>
    <x v="1"/>
    <s v="36-40"/>
    <s v="05"/>
  </r>
  <r>
    <s v="B159"/>
    <s v="Harsh Vardhan"/>
    <n v="48"/>
    <s v="F"/>
    <x v="4"/>
    <n v="80603"/>
    <s v="24-01-2026"/>
    <x v="0"/>
    <s v="46-50"/>
    <s v="01"/>
  </r>
  <r>
    <s v="B160"/>
    <s v="Nikhil Joshi"/>
    <n v="28"/>
    <s v="M"/>
    <x v="3"/>
    <n v="56355"/>
    <s v="22-06-2026"/>
    <x v="0"/>
    <s v="26-30"/>
    <s v="06"/>
  </r>
  <r>
    <s v="B161"/>
    <s v="Pooja Nair"/>
    <n v="36"/>
    <s v="M"/>
    <x v="0"/>
    <n v="37200"/>
    <s v="10-01-2026"/>
    <x v="0"/>
    <s v="36-40"/>
    <s v="01"/>
  </r>
  <r>
    <s v="B162"/>
    <s v="Pooja Nair"/>
    <n v="37"/>
    <s v="F"/>
    <x v="0"/>
    <n v="30451"/>
    <s v="19-04-2026"/>
    <x v="0"/>
    <s v="36-40"/>
    <s v="04"/>
  </r>
  <r>
    <s v="B163"/>
    <s v="Arjun Kumar"/>
    <n v="43"/>
    <s v="M"/>
    <x v="5"/>
    <n v="20825"/>
    <s v="09-05-2026"/>
    <x v="0"/>
    <s v="41-45"/>
    <s v="05"/>
  </r>
  <r>
    <s v="B164"/>
    <s v="Nikhil Joshi"/>
    <n v="24"/>
    <s v="M"/>
    <x v="3"/>
    <n v="62068"/>
    <s v="09-01-2026"/>
    <x v="0"/>
    <s v="21-25"/>
    <s v="01"/>
  </r>
  <r>
    <s v="B165"/>
    <s v="Harsh Vardhan"/>
    <n v="42"/>
    <s v="F"/>
    <x v="1"/>
    <n v="18826"/>
    <s v="24-06-2026"/>
    <x v="0"/>
    <s v="41-45"/>
    <s v="06"/>
  </r>
  <r>
    <s v="B166"/>
    <s v="Neha Gupta"/>
    <n v="45"/>
    <s v="F"/>
    <x v="2"/>
    <n v="14582"/>
    <s v="06-05-2026"/>
    <x v="1"/>
    <s v="41-45"/>
    <s v="05"/>
  </r>
  <r>
    <s v="B167"/>
    <s v="Arjun Kumar"/>
    <n v="43"/>
    <s v="M"/>
    <x v="4"/>
    <n v="83413"/>
    <s v="20-06-2026"/>
    <x v="0"/>
    <s v="41-45"/>
    <s v="06"/>
  </r>
  <r>
    <s v="B168"/>
    <s v="Rahul Sharma"/>
    <n v="49"/>
    <s v="M"/>
    <x v="4"/>
    <n v="68575"/>
    <s v="10-02-2026"/>
    <x v="1"/>
    <s v="46-50"/>
    <s v="02"/>
  </r>
  <r>
    <s v="B169"/>
    <s v="Vikram Rao"/>
    <n v="25"/>
    <s v="M"/>
    <x v="1"/>
    <n v="23848"/>
    <s v="17-05-2026"/>
    <x v="0"/>
    <s v="21-25"/>
    <s v="05"/>
  </r>
  <r>
    <s v="B170"/>
    <s v="Rahul Sharma"/>
    <n v="34"/>
    <s v="F"/>
    <x v="5"/>
    <n v="21410"/>
    <s v="28-03-2026"/>
    <x v="0"/>
    <s v="31-35"/>
    <s v="03"/>
  </r>
  <r>
    <s v="B171"/>
    <s v="Rahul Sharma"/>
    <n v="33"/>
    <s v="F"/>
    <x v="2"/>
    <n v="19154"/>
    <s v="21-04-2026"/>
    <x v="0"/>
    <s v="31-35"/>
    <s v="04"/>
  </r>
  <r>
    <s v="B172"/>
    <s v="Sarthak Roy"/>
    <n v="35"/>
    <s v="M"/>
    <x v="4"/>
    <n v="80473"/>
    <s v="07-03-2026"/>
    <x v="0"/>
    <s v="31-35"/>
    <s v="03"/>
  </r>
  <r>
    <s v="B173"/>
    <s v="Meera Iyer"/>
    <n v="38"/>
    <s v="M"/>
    <x v="4"/>
    <n v="55470"/>
    <s v="15-04-2026"/>
    <x v="0"/>
    <s v="36-40"/>
    <s v="04"/>
  </r>
  <r>
    <s v="B174"/>
    <s v="Harsh Vardhan"/>
    <n v="31"/>
    <s v="M"/>
    <x v="0"/>
    <n v="29151"/>
    <s v="20-04-2026"/>
    <x v="1"/>
    <s v="31-35"/>
    <s v="04"/>
  </r>
  <r>
    <s v="B175"/>
    <s v="Aisha Khan"/>
    <n v="25"/>
    <s v="F"/>
    <x v="3"/>
    <n v="71584"/>
    <s v="25-01-2026"/>
    <x v="0"/>
    <s v="21-25"/>
    <s v="01"/>
  </r>
  <r>
    <s v="B176"/>
    <s v="Ananya Das"/>
    <n v="21"/>
    <s v="F"/>
    <x v="5"/>
    <n v="21134"/>
    <s v="03-03-2026"/>
    <x v="1"/>
    <s v="21-25"/>
    <s v="03"/>
  </r>
  <r>
    <s v="B177"/>
    <s v="Sneha Patel"/>
    <n v="22"/>
    <s v="F"/>
    <x v="5"/>
    <n v="17465"/>
    <s v="30-06-2026"/>
    <x v="0"/>
    <s v="21-25"/>
    <s v="06"/>
  </r>
  <r>
    <s v="B178"/>
    <s v="Sneha Patel"/>
    <n v="30"/>
    <s v="F"/>
    <x v="0"/>
    <n v="33605"/>
    <s v="29-06-2026"/>
    <x v="0"/>
    <s v="26-30"/>
    <s v="06"/>
  </r>
  <r>
    <s v="B179"/>
    <s v="Nikhil Joshi"/>
    <n v="38"/>
    <s v="F"/>
    <x v="3"/>
    <n v="53733"/>
    <s v="22-02-2026"/>
    <x v="0"/>
    <s v="36-40"/>
    <s v="02"/>
  </r>
  <r>
    <s v="B180"/>
    <s v="Sneha Patel"/>
    <n v="42"/>
    <s v="M"/>
    <x v="5"/>
    <n v="20285"/>
    <s v="11-02-2026"/>
    <x v="0"/>
    <s v="41-45"/>
    <s v="02"/>
  </r>
  <r>
    <s v="B181"/>
    <s v="Pooja Nair"/>
    <n v="30"/>
    <s v="F"/>
    <x v="0"/>
    <n v="27845"/>
    <s v="15-01-2026"/>
    <x v="0"/>
    <s v="26-30"/>
    <s v="01"/>
  </r>
  <r>
    <s v="B182"/>
    <s v="Rohan Das"/>
    <n v="30"/>
    <s v="F"/>
    <x v="4"/>
    <n v="73157"/>
    <s v="17-04-2026"/>
    <x v="1"/>
    <s v="26-30"/>
    <s v="04"/>
  </r>
  <r>
    <s v="B183"/>
    <s v="Arjun Kumar"/>
    <n v="50"/>
    <s v="M"/>
    <x v="2"/>
    <n v="19525"/>
    <s v="04-03-2026"/>
    <x v="1"/>
    <s v="46-50"/>
    <s v="03"/>
  </r>
  <r>
    <s v="B184"/>
    <s v="Ananya Das"/>
    <n v="23"/>
    <s v="M"/>
    <x v="5"/>
    <n v="19082"/>
    <s v="28-06-2026"/>
    <x v="0"/>
    <s v="21-25"/>
    <s v="06"/>
  </r>
  <r>
    <s v="B185"/>
    <s v="Rahul Sharma"/>
    <n v="44"/>
    <s v="M"/>
    <x v="0"/>
    <n v="28266"/>
    <s v="28-06-2026"/>
    <x v="0"/>
    <s v="41-45"/>
    <s v="06"/>
  </r>
  <r>
    <s v="B186"/>
    <s v="Karan Mehta"/>
    <n v="41"/>
    <s v="F"/>
    <x v="5"/>
    <n v="19787"/>
    <s v="19-01-2026"/>
    <x v="0"/>
    <s v="41-45"/>
    <s v="01"/>
  </r>
  <r>
    <s v="B187"/>
    <s v="Priya Singh"/>
    <n v="24"/>
    <s v="M"/>
    <x v="1"/>
    <n v="27817"/>
    <s v="14-04-2026"/>
    <x v="1"/>
    <s v="21-25"/>
    <s v="04"/>
  </r>
  <r>
    <s v="B188"/>
    <s v="Rahul Sharma"/>
    <n v="49"/>
    <s v="M"/>
    <x v="2"/>
    <n v="15068"/>
    <s v="06-04-2026"/>
    <x v="0"/>
    <s v="46-50"/>
    <s v="04"/>
  </r>
  <r>
    <s v="B189"/>
    <s v="Ritika Sharma"/>
    <n v="40"/>
    <s v="F"/>
    <x v="1"/>
    <n v="18938"/>
    <s v="20-03-2026"/>
    <x v="1"/>
    <s v="36-40"/>
    <s v="03"/>
  </r>
  <r>
    <s v="B190"/>
    <s v="Kavya Reddy"/>
    <n v="22"/>
    <s v="F"/>
    <x v="5"/>
    <n v="19651"/>
    <s v="08-06-2026"/>
    <x v="0"/>
    <s v="21-25"/>
    <s v="06"/>
  </r>
  <r>
    <s v="B191"/>
    <s v="Kavya Reddy"/>
    <n v="25"/>
    <s v="M"/>
    <x v="3"/>
    <n v="70837"/>
    <s v="09-04-2026"/>
    <x v="1"/>
    <s v="21-25"/>
    <s v="04"/>
  </r>
  <r>
    <s v="B192"/>
    <s v="Ananya Das"/>
    <n v="43"/>
    <s v="M"/>
    <x v="0"/>
    <n v="33309"/>
    <s v="13-06-2026"/>
    <x v="0"/>
    <s v="41-45"/>
    <s v="06"/>
  </r>
  <r>
    <s v="B193"/>
    <s v="Nikhil Joshi"/>
    <n v="32"/>
    <s v="F"/>
    <x v="1"/>
    <n v="19949"/>
    <s v="05-01-2026"/>
    <x v="0"/>
    <s v="31-35"/>
    <s v="01"/>
  </r>
  <r>
    <s v="B194"/>
    <s v="Aisha Khan"/>
    <n v="42"/>
    <s v="F"/>
    <x v="4"/>
    <n v="81517"/>
    <s v="05-01-2026"/>
    <x v="0"/>
    <s v="41-45"/>
    <s v="01"/>
  </r>
  <r>
    <s v="B195"/>
    <s v="Karan Mehta"/>
    <n v="46"/>
    <s v="M"/>
    <x v="4"/>
    <n v="61562"/>
    <s v="28-02-2026"/>
    <x v="1"/>
    <s v="46-50"/>
    <s v="02"/>
  </r>
  <r>
    <s v="B196"/>
    <s v="Rohan Das"/>
    <n v="46"/>
    <s v="M"/>
    <x v="5"/>
    <n v="15703"/>
    <s v="05-03-2026"/>
    <x v="0"/>
    <s v="46-50"/>
    <s v="03"/>
  </r>
  <r>
    <s v="B197"/>
    <s v="Karan Mehta"/>
    <n v="30"/>
    <s v="M"/>
    <x v="5"/>
    <n v="18266"/>
    <s v="09-02-2026"/>
    <x v="0"/>
    <s v="26-30"/>
    <s v="02"/>
  </r>
  <r>
    <s v="B198"/>
    <s v="Karan Mehta"/>
    <n v="39"/>
    <s v="F"/>
    <x v="5"/>
    <n v="21283"/>
    <s v="22-01-2026"/>
    <x v="0"/>
    <s v="36-40"/>
    <s v="01"/>
  </r>
  <r>
    <s v="B199"/>
    <s v="Pooja Nair"/>
    <n v="39"/>
    <s v="M"/>
    <x v="0"/>
    <n v="37630"/>
    <s v="25-03-2026"/>
    <x v="0"/>
    <s v="36-40"/>
    <s v="03"/>
  </r>
  <r>
    <s v="B200"/>
    <s v="Ananya Das"/>
    <n v="42"/>
    <s v="M"/>
    <x v="1"/>
    <n v="27364"/>
    <s v="31-05-2026"/>
    <x v="0"/>
    <s v="41-45"/>
    <s v="0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Karan Mehta"/>
    <n v="31"/>
    <s v="M"/>
    <s v="Kashmir"/>
    <n v="35911"/>
    <s v="20-03-2026"/>
    <s v="Confirmed"/>
    <s v="31-35"/>
    <s v="03"/>
    <x v="0"/>
  </r>
  <r>
    <s v="B002"/>
    <s v="Pooja Nair"/>
    <n v="30"/>
    <s v="M"/>
    <s v="Kerala"/>
    <n v="25383"/>
    <s v="27-05-2026"/>
    <s v="Cancelled"/>
    <s v="26-30"/>
    <s v="05"/>
    <x v="1"/>
  </r>
  <r>
    <s v="B003"/>
    <s v="Neha Gupta"/>
    <n v="47"/>
    <s v="M"/>
    <s v="Goa"/>
    <n v="20176"/>
    <s v="12-03-2026"/>
    <s v="Confirmed"/>
    <s v="46-50"/>
    <s v="03"/>
    <x v="1"/>
  </r>
  <r>
    <s v="B004"/>
    <s v="Rohan Das"/>
    <n v="28"/>
    <s v="M"/>
    <s v="Dubai"/>
    <n v="53100"/>
    <s v="10-01-2026"/>
    <s v="Confirmed"/>
    <s v="26-30"/>
    <s v="01"/>
    <x v="2"/>
  </r>
  <r>
    <s v="B005"/>
    <s v="Aisha Khan"/>
    <n v="37"/>
    <s v="M"/>
    <s v="Bali"/>
    <n v="66096"/>
    <s v="16-03-2026"/>
    <s v="Confirmed"/>
    <s v="36-40"/>
    <s v="03"/>
    <x v="2"/>
  </r>
  <r>
    <s v="B006"/>
    <s v="Ananya Das"/>
    <n v="37"/>
    <s v="F"/>
    <s v="Goa"/>
    <n v="18862"/>
    <s v="17-01-2026"/>
    <s v="Confirmed"/>
    <s v="36-40"/>
    <s v="01"/>
    <x v="1"/>
  </r>
  <r>
    <s v="B007"/>
    <s v="Nikhil Joshi"/>
    <n v="45"/>
    <s v="M"/>
    <s v="Manali"/>
    <n v="20203"/>
    <s v="12-06-2026"/>
    <s v="Confirmed"/>
    <s v="41-45"/>
    <s v="06"/>
    <x v="1"/>
  </r>
  <r>
    <s v="B008"/>
    <s v="Nikhil Joshi"/>
    <n v="37"/>
    <s v="F"/>
    <s v="Bali"/>
    <n v="63466"/>
    <s v="20-04-2026"/>
    <s v="Confirmed"/>
    <s v="36-40"/>
    <s v="04"/>
    <x v="2"/>
  </r>
  <r>
    <s v="B009"/>
    <s v="Sarthak Roy"/>
    <n v="26"/>
    <s v="M"/>
    <s v="Kerala"/>
    <n v="21132"/>
    <s v="10-05-2026"/>
    <s v="Confirmed"/>
    <s v="26-30"/>
    <s v="05"/>
    <x v="1"/>
  </r>
  <r>
    <s v="B010"/>
    <s v="Harsh Vardhan"/>
    <n v="35"/>
    <s v="M"/>
    <s v="Bali"/>
    <n v="83720"/>
    <s v="09-05-2026"/>
    <s v="Confirmed"/>
    <s v="31-35"/>
    <s v="05"/>
    <x v="2"/>
  </r>
  <r>
    <s v="B011"/>
    <s v="Vikram Rao"/>
    <n v="31"/>
    <s v="F"/>
    <s v="Manali"/>
    <n v="19702"/>
    <s v="20-05-2026"/>
    <s v="Confirmed"/>
    <s v="31-35"/>
    <s v="05"/>
    <x v="1"/>
  </r>
  <r>
    <s v="B012"/>
    <s v="Karan Mehta"/>
    <n v="47"/>
    <s v="M"/>
    <s v="Dubai"/>
    <n v="74661"/>
    <s v="12-04-2026"/>
    <s v="Cancelled"/>
    <s v="46-50"/>
    <s v="04"/>
    <x v="2"/>
  </r>
  <r>
    <s v="B013"/>
    <s v="Vikram Rao"/>
    <n v="50"/>
    <s v="M"/>
    <s v="Kashmir"/>
    <n v="30752"/>
    <s v="18-02-2026"/>
    <s v="Cancelled"/>
    <s v="46-50"/>
    <s v="02"/>
    <x v="0"/>
  </r>
  <r>
    <s v="B014"/>
    <s v="Sarthak Roy"/>
    <n v="35"/>
    <s v="M"/>
    <s v="Goa"/>
    <n v="14087"/>
    <s v="21-03-2026"/>
    <s v="Cancelled"/>
    <s v="31-35"/>
    <s v="03"/>
    <x v="1"/>
  </r>
  <r>
    <s v="B015"/>
    <s v="Pooja Nair"/>
    <n v="30"/>
    <s v="F"/>
    <s v="Kerala"/>
    <n v="22495"/>
    <s v="17-05-2026"/>
    <s v="Confirmed"/>
    <s v="26-30"/>
    <s v="05"/>
    <x v="1"/>
  </r>
  <r>
    <s v="B016"/>
    <s v="Meera Iyer"/>
    <n v="50"/>
    <s v="F"/>
    <s v="Kashmir"/>
    <n v="35549"/>
    <s v="21-03-2026"/>
    <s v="Confirmed"/>
    <s v="46-50"/>
    <s v="03"/>
    <x v="0"/>
  </r>
  <r>
    <s v="B017"/>
    <s v="Pooja Nair"/>
    <n v="23"/>
    <s v="M"/>
    <s v="Bali"/>
    <n v="77553"/>
    <s v="15-01-2026"/>
    <s v="Confirmed"/>
    <s v="21-25"/>
    <s v="01"/>
    <x v="2"/>
  </r>
  <r>
    <s v="B018"/>
    <s v="Rahul Sharma"/>
    <n v="40"/>
    <s v="M"/>
    <s v="Manali"/>
    <n v="24026"/>
    <s v="24-06-2026"/>
    <s v="Cancelled"/>
    <s v="36-40"/>
    <s v="06"/>
    <x v="1"/>
  </r>
  <r>
    <s v="B019"/>
    <s v="Sarthak Roy"/>
    <n v="36"/>
    <s v="F"/>
    <s v="Dubai"/>
    <n v="68263"/>
    <s v="04-02-2026"/>
    <s v="Cancelled"/>
    <s v="36-40"/>
    <s v="02"/>
    <x v="2"/>
  </r>
  <r>
    <s v="B020"/>
    <s v="Meera Iyer"/>
    <n v="38"/>
    <s v="F"/>
    <s v="Kashmir"/>
    <n v="38063"/>
    <s v="12-03-2026"/>
    <s v="Confirmed"/>
    <s v="36-40"/>
    <s v="03"/>
    <x v="0"/>
  </r>
  <r>
    <s v="B021"/>
    <s v="Aman Jain"/>
    <n v="37"/>
    <s v="M"/>
    <s v="Bali"/>
    <n v="76289"/>
    <s v="12-06-2026"/>
    <s v="Confirmed"/>
    <s v="36-40"/>
    <s v="06"/>
    <x v="2"/>
  </r>
  <r>
    <s v="B022"/>
    <s v="Ananya Das"/>
    <n v="38"/>
    <s v="F"/>
    <s v="Goa"/>
    <n v="16923"/>
    <s v="05-06-2026"/>
    <s v="Confirmed"/>
    <s v="36-40"/>
    <s v="06"/>
    <x v="1"/>
  </r>
  <r>
    <s v="B023"/>
    <s v="Harsh Vardhan"/>
    <n v="22"/>
    <s v="F"/>
    <s v="Kashmir"/>
    <n v="36647"/>
    <s v="04-05-2026"/>
    <s v="Confirmed"/>
    <s v="21-25"/>
    <s v="05"/>
    <x v="0"/>
  </r>
  <r>
    <s v="B024"/>
    <s v="Harsh Vardhan"/>
    <n v="49"/>
    <s v="M"/>
    <s v="Kashmir"/>
    <n v="27606"/>
    <s v="22-06-2026"/>
    <s v="Confirmed"/>
    <s v="46-50"/>
    <s v="06"/>
    <x v="1"/>
  </r>
  <r>
    <s v="B025"/>
    <s v="Ritika Sharma"/>
    <n v="33"/>
    <s v="F"/>
    <s v="Goa"/>
    <n v="21394"/>
    <s v="10-01-2026"/>
    <s v="Confirmed"/>
    <s v="31-35"/>
    <s v="01"/>
    <x v="1"/>
  </r>
  <r>
    <s v="B026"/>
    <s v="Ritika Sharma"/>
    <n v="43"/>
    <s v="F"/>
    <s v="Dubai"/>
    <n v="54115"/>
    <s v="08-05-2026"/>
    <s v="Cancelled"/>
    <s v="41-45"/>
    <s v="05"/>
    <x v="2"/>
  </r>
  <r>
    <s v="B027"/>
    <s v="Rohan Das"/>
    <n v="29"/>
    <s v="M"/>
    <s v="Goa"/>
    <n v="18362"/>
    <s v="19-02-2026"/>
    <s v="Confirmed"/>
    <s v="26-30"/>
    <s v="02"/>
    <x v="1"/>
  </r>
  <r>
    <s v="B028"/>
    <s v="Rohan Das"/>
    <n v="44"/>
    <s v="F"/>
    <s v="Bali"/>
    <n v="83794"/>
    <s v="13-03-2026"/>
    <s v="Confirmed"/>
    <s v="41-45"/>
    <s v="03"/>
    <x v="2"/>
  </r>
  <r>
    <s v="B029"/>
    <s v="Rahul Sharma"/>
    <n v="35"/>
    <s v="F"/>
    <s v="Bali"/>
    <n v="65602"/>
    <s v="19-05-2026"/>
    <s v="Confirmed"/>
    <s v="31-35"/>
    <s v="05"/>
    <x v="2"/>
  </r>
  <r>
    <s v="B030"/>
    <s v="Yash Gupta"/>
    <n v="23"/>
    <s v="M"/>
    <s v="Kashmir"/>
    <n v="34041"/>
    <s v="06-03-2026"/>
    <s v="Confirmed"/>
    <s v="21-25"/>
    <s v="03"/>
    <x v="0"/>
  </r>
  <r>
    <s v="B031"/>
    <s v="Rahul Sharma"/>
    <n v="24"/>
    <s v="M"/>
    <s v="Goa"/>
    <n v="18636"/>
    <s v="12-05-2026"/>
    <s v="Confirmed"/>
    <s v="21-25"/>
    <s v="05"/>
    <x v="1"/>
  </r>
  <r>
    <s v="B032"/>
    <s v="Sarthak Roy"/>
    <n v="28"/>
    <s v="M"/>
    <s v="Kashmir"/>
    <n v="32850"/>
    <s v="27-06-2026"/>
    <s v="Confirmed"/>
    <s v="26-30"/>
    <s v="06"/>
    <x v="0"/>
  </r>
  <r>
    <s v="B033"/>
    <s v="Priya Singh"/>
    <n v="26"/>
    <s v="M"/>
    <s v="Kerala"/>
    <n v="20727"/>
    <s v="17-03-2026"/>
    <s v="Confirmed"/>
    <s v="26-30"/>
    <s v="03"/>
    <x v="1"/>
  </r>
  <r>
    <s v="B034"/>
    <s v="Sarthak Roy"/>
    <n v="50"/>
    <s v="M"/>
    <s v="Goa"/>
    <n v="17254"/>
    <s v="28-04-2026"/>
    <s v="Confirmed"/>
    <s v="46-50"/>
    <s v="04"/>
    <x v="1"/>
  </r>
  <r>
    <s v="B035"/>
    <s v="Arjun Kumar"/>
    <n v="34"/>
    <s v="F"/>
    <s v="Manali"/>
    <n v="16601"/>
    <s v="31-01-2026"/>
    <s v="Confirmed"/>
    <s v="31-35"/>
    <s v="01"/>
    <x v="1"/>
  </r>
  <r>
    <s v="B036"/>
    <s v="Aman Jain"/>
    <n v="28"/>
    <s v="M"/>
    <s v="Kashmir"/>
    <n v="34511"/>
    <s v="28-02-2026"/>
    <s v="Confirmed"/>
    <s v="26-30"/>
    <s v="02"/>
    <x v="0"/>
  </r>
  <r>
    <s v="B037"/>
    <s v="Rohan Das"/>
    <n v="27"/>
    <s v="F"/>
    <s v="Dubai"/>
    <n v="72618"/>
    <s v="08-01-2026"/>
    <s v="Confirmed"/>
    <s v="26-30"/>
    <s v="01"/>
    <x v="2"/>
  </r>
  <r>
    <s v="B038"/>
    <s v="Rahul Sharma"/>
    <n v="25"/>
    <s v="M"/>
    <s v="Kashmir"/>
    <n v="26325"/>
    <s v="13-05-2026"/>
    <s v="Confirmed"/>
    <s v="21-25"/>
    <s v="05"/>
    <x v="1"/>
  </r>
  <r>
    <s v="B039"/>
    <s v="Nikhil Joshi"/>
    <n v="44"/>
    <s v="M"/>
    <s v="Goa"/>
    <n v="17651"/>
    <s v="22-02-2026"/>
    <s v="Confirmed"/>
    <s v="41-45"/>
    <s v="02"/>
    <x v="1"/>
  </r>
  <r>
    <s v="B040"/>
    <s v="Aditya Verma"/>
    <n v="33"/>
    <s v="M"/>
    <s v="Goa"/>
    <n v="19378"/>
    <s v="20-04-2026"/>
    <s v="Confirmed"/>
    <s v="31-35"/>
    <s v="04"/>
    <x v="1"/>
  </r>
  <r>
    <s v="B041"/>
    <s v="Yash Gupta"/>
    <n v="37"/>
    <s v="F"/>
    <s v="Dubai"/>
    <n v="53612"/>
    <s v="04-03-2026"/>
    <s v="Confirmed"/>
    <s v="36-40"/>
    <s v="03"/>
    <x v="2"/>
  </r>
  <r>
    <s v="B042"/>
    <s v="Sarthak Roy"/>
    <n v="31"/>
    <s v="F"/>
    <s v="Dubai"/>
    <n v="59321"/>
    <s v="02-06-2026"/>
    <s v="Confirmed"/>
    <s v="31-35"/>
    <s v="06"/>
    <x v="2"/>
  </r>
  <r>
    <s v="B043"/>
    <s v="Ananya Das"/>
    <n v="21"/>
    <s v="M"/>
    <s v="Manali"/>
    <n v="21669"/>
    <s v="05-05-2026"/>
    <s v="Confirmed"/>
    <s v="21-25"/>
    <s v="05"/>
    <x v="1"/>
  </r>
  <r>
    <s v="B044"/>
    <s v="Vikram Rao"/>
    <n v="31"/>
    <s v="F"/>
    <s v="Bali"/>
    <n v="63695"/>
    <s v="18-02-2026"/>
    <s v="Confirmed"/>
    <s v="31-35"/>
    <s v="02"/>
    <x v="2"/>
  </r>
  <r>
    <s v="B045"/>
    <s v="Meera Iyer"/>
    <n v="47"/>
    <s v="M"/>
    <s v="Goa"/>
    <n v="16137"/>
    <s v="28-04-2026"/>
    <s v="Confirmed"/>
    <s v="46-50"/>
    <s v="04"/>
    <x v="1"/>
  </r>
  <r>
    <s v="B046"/>
    <s v="Sneha Patel"/>
    <n v="48"/>
    <s v="F"/>
    <s v="Kashmir"/>
    <n v="26581"/>
    <s v="16-04-2026"/>
    <s v="Confirmed"/>
    <s v="46-50"/>
    <s v="04"/>
    <x v="1"/>
  </r>
  <r>
    <s v="B047"/>
    <s v="Ananya Das"/>
    <n v="40"/>
    <s v="F"/>
    <s v="Kerala"/>
    <n v="19510"/>
    <s v="19-01-2026"/>
    <s v="Cancelled"/>
    <s v="36-40"/>
    <s v="01"/>
    <x v="1"/>
  </r>
  <r>
    <s v="B048"/>
    <s v="Kavya Reddy"/>
    <n v="45"/>
    <s v="F"/>
    <s v="Goa"/>
    <n v="18575"/>
    <s v="29-01-2026"/>
    <s v="Cancelled"/>
    <s v="41-45"/>
    <s v="01"/>
    <x v="1"/>
  </r>
  <r>
    <s v="B049"/>
    <s v="Kavya Reddy"/>
    <n v="27"/>
    <s v="F"/>
    <s v="Kashmir"/>
    <n v="29381"/>
    <s v="08-02-2026"/>
    <s v="Confirmed"/>
    <s v="26-30"/>
    <s v="02"/>
    <x v="1"/>
  </r>
  <r>
    <s v="B050"/>
    <s v="Meera Iyer"/>
    <n v="34"/>
    <s v="M"/>
    <s v="Manali"/>
    <n v="24065"/>
    <s v="02-02-2026"/>
    <s v="Cancelled"/>
    <s v="31-35"/>
    <s v="02"/>
    <x v="1"/>
  </r>
  <r>
    <s v="B051"/>
    <s v="Nikhil Joshi"/>
    <n v="43"/>
    <s v="F"/>
    <s v="Goa"/>
    <n v="18884"/>
    <s v="10-06-2026"/>
    <s v="Confirmed"/>
    <s v="41-45"/>
    <s v="06"/>
    <x v="1"/>
  </r>
  <r>
    <s v="B052"/>
    <s v="Karan Mehta"/>
    <n v="45"/>
    <s v="M"/>
    <s v="Goa"/>
    <n v="17525"/>
    <s v="16-02-2026"/>
    <s v="Confirmed"/>
    <s v="41-45"/>
    <s v="02"/>
    <x v="1"/>
  </r>
  <r>
    <s v="B053"/>
    <s v="Kavya Reddy"/>
    <n v="39"/>
    <s v="F"/>
    <s v="Manali"/>
    <n v="23867"/>
    <s v="25-02-2026"/>
    <s v="Confirmed"/>
    <s v="36-40"/>
    <s v="02"/>
    <x v="1"/>
  </r>
  <r>
    <s v="B054"/>
    <s v="Arjun Kumar"/>
    <n v="21"/>
    <s v="F"/>
    <s v="Kashmir"/>
    <n v="32638"/>
    <s v="01-03-2026"/>
    <s v="Confirmed"/>
    <s v="21-25"/>
    <s v="03"/>
    <x v="0"/>
  </r>
  <r>
    <s v="B055"/>
    <s v="Ritika Sharma"/>
    <n v="21"/>
    <s v="M"/>
    <s v="Manali"/>
    <n v="24707"/>
    <s v="06-03-2026"/>
    <s v="Confirmed"/>
    <s v="21-25"/>
    <s v="03"/>
    <x v="1"/>
  </r>
  <r>
    <s v="B056"/>
    <s v="Arjun Kumar"/>
    <n v="22"/>
    <s v="F"/>
    <s v="Kashmir"/>
    <n v="30819"/>
    <s v="14-02-2026"/>
    <s v="Confirmed"/>
    <s v="21-25"/>
    <s v="02"/>
    <x v="0"/>
  </r>
  <r>
    <s v="B057"/>
    <s v="Rahul Sharma"/>
    <n v="47"/>
    <s v="M"/>
    <s v="Kerala"/>
    <n v="26550"/>
    <s v="27-06-2026"/>
    <s v="Cancelled"/>
    <s v="46-50"/>
    <s v="06"/>
    <x v="1"/>
  </r>
  <r>
    <s v="B058"/>
    <s v="Ananya Das"/>
    <n v="24"/>
    <s v="F"/>
    <s v="Dubai"/>
    <n v="71391"/>
    <s v="06-06-2026"/>
    <s v="Cancelled"/>
    <s v="21-25"/>
    <s v="06"/>
    <x v="2"/>
  </r>
  <r>
    <s v="B059"/>
    <s v="Sneha Patel"/>
    <n v="42"/>
    <s v="M"/>
    <s v="Kashmir"/>
    <n v="35668"/>
    <s v="31-01-2026"/>
    <s v="Confirmed"/>
    <s v="41-45"/>
    <s v="01"/>
    <x v="0"/>
  </r>
  <r>
    <s v="B060"/>
    <s v="Meera Iyer"/>
    <n v="35"/>
    <s v="F"/>
    <s v="Goa"/>
    <n v="20712"/>
    <s v="23-01-2026"/>
    <s v="Confirmed"/>
    <s v="31-35"/>
    <s v="01"/>
    <x v="1"/>
  </r>
  <r>
    <s v="B061"/>
    <s v="Yash Gupta"/>
    <n v="40"/>
    <s v="F"/>
    <s v="Bali"/>
    <n v="76031"/>
    <s v="27-02-2026"/>
    <s v="Confirmed"/>
    <s v="36-40"/>
    <s v="02"/>
    <x v="2"/>
  </r>
  <r>
    <s v="B062"/>
    <s v="Meera Iyer"/>
    <n v="49"/>
    <s v="M"/>
    <s v="Goa"/>
    <n v="18174"/>
    <s v="01-01-2026"/>
    <s v="Confirmed"/>
    <s v="46-50"/>
    <s v="01"/>
    <x v="1"/>
  </r>
  <r>
    <s v="B063"/>
    <s v="Aditya Verma"/>
    <n v="30"/>
    <s v="M"/>
    <s v="Goa"/>
    <n v="16020"/>
    <s v="07-01-2026"/>
    <s v="Confirmed"/>
    <s v="26-30"/>
    <s v="01"/>
    <x v="1"/>
  </r>
  <r>
    <s v="B064"/>
    <s v="Kavya Reddy"/>
    <n v="25"/>
    <s v="F"/>
    <s v="Dubai"/>
    <n v="52388"/>
    <s v="20-04-2026"/>
    <s v="Confirmed"/>
    <s v="21-25"/>
    <s v="04"/>
    <x v="2"/>
  </r>
  <r>
    <s v="B065"/>
    <s v="Aman Jain"/>
    <n v="22"/>
    <s v="F"/>
    <s v="Kerala"/>
    <n v="24710"/>
    <s v="01-06-2026"/>
    <s v="Confirmed"/>
    <s v="21-25"/>
    <s v="06"/>
    <x v="1"/>
  </r>
  <r>
    <s v="B066"/>
    <s v="Rohan Das"/>
    <n v="40"/>
    <s v="F"/>
    <s v="Goa"/>
    <n v="17201"/>
    <s v="18-01-2026"/>
    <s v="Confirmed"/>
    <s v="36-40"/>
    <s v="01"/>
    <x v="1"/>
  </r>
  <r>
    <s v="B067"/>
    <s v="Sarthak Roy"/>
    <n v="28"/>
    <s v="M"/>
    <s v="Kashmir"/>
    <n v="35215"/>
    <s v="16-01-2026"/>
    <s v="Cancelled"/>
    <s v="26-30"/>
    <s v="01"/>
    <x v="0"/>
  </r>
  <r>
    <s v="B068"/>
    <s v="Aman Jain"/>
    <n v="38"/>
    <s v="F"/>
    <s v="Goa"/>
    <n v="17216"/>
    <s v="14-01-2026"/>
    <s v="Confirmed"/>
    <s v="36-40"/>
    <s v="01"/>
    <x v="1"/>
  </r>
  <r>
    <s v="B069"/>
    <s v="Aman Jain"/>
    <n v="32"/>
    <s v="F"/>
    <s v="Goa"/>
    <n v="19928"/>
    <s v="25-01-2026"/>
    <s v="Confirmed"/>
    <s v="31-35"/>
    <s v="01"/>
    <x v="1"/>
  </r>
  <r>
    <s v="B070"/>
    <s v="Karan Mehta"/>
    <n v="23"/>
    <s v="F"/>
    <s v="Kerala"/>
    <n v="23528"/>
    <s v="09-04-2026"/>
    <s v="Confirmed"/>
    <s v="21-25"/>
    <s v="04"/>
    <x v="1"/>
  </r>
  <r>
    <s v="B071"/>
    <s v="Aman Jain"/>
    <n v="38"/>
    <s v="M"/>
    <s v="Dubai"/>
    <n v="60881"/>
    <s v="15-01-2026"/>
    <s v="Confirmed"/>
    <s v="36-40"/>
    <s v="01"/>
    <x v="2"/>
  </r>
  <r>
    <s v="B072"/>
    <s v="Aditya Verma"/>
    <n v="47"/>
    <s v="F"/>
    <s v="Manali"/>
    <n v="19679"/>
    <s v="14-02-2026"/>
    <s v="Cancelled"/>
    <s v="46-50"/>
    <s v="02"/>
    <x v="1"/>
  </r>
  <r>
    <s v="B073"/>
    <s v="Yash Gupta"/>
    <n v="47"/>
    <s v="F"/>
    <s v="Kashmir"/>
    <n v="27720"/>
    <s v="28-06-2026"/>
    <s v="Confirmed"/>
    <s v="46-50"/>
    <s v="06"/>
    <x v="1"/>
  </r>
  <r>
    <s v="B074"/>
    <s v="Rohan Das"/>
    <n v="35"/>
    <s v="F"/>
    <s v="Dubai"/>
    <n v="70814"/>
    <s v="14-02-2026"/>
    <s v="Confirmed"/>
    <s v="31-35"/>
    <s v="02"/>
    <x v="2"/>
  </r>
  <r>
    <s v="B075"/>
    <s v="Karan Mehta"/>
    <n v="40"/>
    <s v="M"/>
    <s v="Dubai"/>
    <n v="55709"/>
    <s v="16-02-2026"/>
    <s v="Confirmed"/>
    <s v="36-40"/>
    <s v="02"/>
    <x v="2"/>
  </r>
  <r>
    <s v="B076"/>
    <s v="Vikram Rao"/>
    <n v="42"/>
    <s v="F"/>
    <s v="Kashmir"/>
    <n v="26722"/>
    <s v="08-02-2026"/>
    <s v="Confirmed"/>
    <s v="41-45"/>
    <s v="02"/>
    <x v="1"/>
  </r>
  <r>
    <s v="B077"/>
    <s v="Priya Singh"/>
    <n v="39"/>
    <s v="F"/>
    <s v="Bali"/>
    <n v="57093"/>
    <s v="13-04-2026"/>
    <s v="Confirmed"/>
    <s v="36-40"/>
    <s v="04"/>
    <x v="2"/>
  </r>
  <r>
    <s v="B078"/>
    <s v="Ananya Das"/>
    <n v="33"/>
    <s v="M"/>
    <s v="Dubai"/>
    <n v="59865"/>
    <s v="27-01-2026"/>
    <s v="Confirmed"/>
    <s v="31-35"/>
    <s v="01"/>
    <x v="2"/>
  </r>
  <r>
    <s v="B079"/>
    <s v="Kavya Reddy"/>
    <n v="36"/>
    <s v="M"/>
    <s v="Kashmir"/>
    <n v="35286"/>
    <s v="20-05-2026"/>
    <s v="Cancelled"/>
    <s v="36-40"/>
    <s v="05"/>
    <x v="0"/>
  </r>
  <r>
    <s v="B080"/>
    <s v="Pooja Nair"/>
    <n v="29"/>
    <s v="F"/>
    <s v="Dubai"/>
    <n v="55197"/>
    <s v="12-03-2026"/>
    <s v="Confirmed"/>
    <s v="26-30"/>
    <s v="03"/>
    <x v="2"/>
  </r>
  <r>
    <s v="B081"/>
    <s v="Ananya Das"/>
    <n v="49"/>
    <s v="M"/>
    <s v="Kashmir"/>
    <n v="29119"/>
    <s v="16-03-2026"/>
    <s v="Confirmed"/>
    <s v="46-50"/>
    <s v="03"/>
    <x v="1"/>
  </r>
  <r>
    <s v="B082"/>
    <s v="Meera Iyer"/>
    <n v="30"/>
    <s v="M"/>
    <s v="Dubai"/>
    <n v="53720"/>
    <s v="21-05-2026"/>
    <s v="Cancelled"/>
    <s v="26-30"/>
    <s v="05"/>
    <x v="2"/>
  </r>
  <r>
    <s v="B083"/>
    <s v="Vikram Rao"/>
    <n v="40"/>
    <s v="F"/>
    <s v="Kerala"/>
    <n v="24258"/>
    <s v="24-03-2026"/>
    <s v="Confirmed"/>
    <s v="36-40"/>
    <s v="03"/>
    <x v="1"/>
  </r>
  <r>
    <s v="B084"/>
    <s v="Rohan Das"/>
    <n v="33"/>
    <s v="M"/>
    <s v="Bali"/>
    <n v="58107"/>
    <s v="03-04-2026"/>
    <s v="Cancelled"/>
    <s v="31-35"/>
    <s v="04"/>
    <x v="2"/>
  </r>
  <r>
    <s v="B085"/>
    <s v="Ritika Sharma"/>
    <n v="33"/>
    <s v="M"/>
    <s v="Bali"/>
    <n v="57004"/>
    <s v="29-06-2026"/>
    <s v="Confirmed"/>
    <s v="31-35"/>
    <s v="06"/>
    <x v="2"/>
  </r>
  <r>
    <s v="B086"/>
    <s v="Arjun Kumar"/>
    <n v="42"/>
    <s v="F"/>
    <s v="Goa"/>
    <n v="15429"/>
    <s v="28-04-2026"/>
    <s v="Confirmed"/>
    <s v="41-45"/>
    <s v="04"/>
    <x v="1"/>
  </r>
  <r>
    <s v="B087"/>
    <s v="Sarthak Roy"/>
    <n v="39"/>
    <s v="M"/>
    <s v="Bali"/>
    <n v="57750"/>
    <s v="19-03-2026"/>
    <s v="Confirmed"/>
    <s v="36-40"/>
    <s v="03"/>
    <x v="2"/>
  </r>
  <r>
    <s v="B088"/>
    <s v="Kavya Reddy"/>
    <n v="24"/>
    <s v="F"/>
    <s v="Dubai"/>
    <n v="66673"/>
    <s v="30-05-2026"/>
    <s v="Confirmed"/>
    <s v="21-25"/>
    <s v="05"/>
    <x v="2"/>
  </r>
  <r>
    <s v="B089"/>
    <s v="Vikram Rao"/>
    <n v="47"/>
    <s v="F"/>
    <s v="Goa"/>
    <n v="21880"/>
    <s v="03-04-2026"/>
    <s v="Confirmed"/>
    <s v="46-50"/>
    <s v="04"/>
    <x v="1"/>
  </r>
  <r>
    <s v="B090"/>
    <s v="Sarthak Roy"/>
    <n v="37"/>
    <s v="F"/>
    <s v="Manali"/>
    <n v="23099"/>
    <s v="24-04-2026"/>
    <s v="Confirmed"/>
    <s v="36-40"/>
    <s v="04"/>
    <x v="1"/>
  </r>
  <r>
    <s v="B091"/>
    <s v="Pooja Nair"/>
    <n v="49"/>
    <s v="F"/>
    <s v="Kashmir"/>
    <n v="25469"/>
    <s v="07-01-2026"/>
    <s v="Confirmed"/>
    <s v="46-50"/>
    <s v="01"/>
    <x v="1"/>
  </r>
  <r>
    <s v="B092"/>
    <s v="Neha Gupta"/>
    <n v="50"/>
    <s v="F"/>
    <s v="Bali"/>
    <n v="65510"/>
    <s v="07-05-2026"/>
    <s v="Confirmed"/>
    <s v="46-50"/>
    <s v="05"/>
    <x v="2"/>
  </r>
  <r>
    <s v="B093"/>
    <s v="Sarthak Roy"/>
    <n v="45"/>
    <s v="F"/>
    <s v="Manali"/>
    <n v="21509"/>
    <s v="04-05-2026"/>
    <s v="Confirmed"/>
    <s v="41-45"/>
    <s v="05"/>
    <x v="1"/>
  </r>
  <r>
    <s v="B094"/>
    <s v="Yash Gupta"/>
    <n v="43"/>
    <s v="M"/>
    <s v="Kashmir"/>
    <n v="38662"/>
    <s v="11-05-2026"/>
    <s v="Cancelled"/>
    <s v="41-45"/>
    <s v="05"/>
    <x v="0"/>
  </r>
  <r>
    <s v="B095"/>
    <s v="Rahul Sharma"/>
    <n v="24"/>
    <s v="M"/>
    <s v="Dubai"/>
    <n v="53874"/>
    <s v="16-04-2026"/>
    <s v="Cancelled"/>
    <s v="21-25"/>
    <s v="04"/>
    <x v="2"/>
  </r>
  <r>
    <s v="B096"/>
    <s v="Yash Gupta"/>
    <n v="25"/>
    <s v="M"/>
    <s v="Bali"/>
    <n v="67948"/>
    <s v="23-04-2026"/>
    <s v="Confirmed"/>
    <s v="21-25"/>
    <s v="04"/>
    <x v="2"/>
  </r>
  <r>
    <s v="B097"/>
    <s v="Rohan Das"/>
    <n v="39"/>
    <s v="M"/>
    <s v="Kerala"/>
    <n v="18926"/>
    <s v="02-05-2026"/>
    <s v="Confirmed"/>
    <s v="36-40"/>
    <s v="05"/>
    <x v="1"/>
  </r>
  <r>
    <s v="B098"/>
    <s v="Aditya Verma"/>
    <n v="24"/>
    <s v="M"/>
    <s v="Manali"/>
    <n v="22891"/>
    <s v="19-02-2026"/>
    <s v="Cancelled"/>
    <s v="21-25"/>
    <s v="02"/>
    <x v="1"/>
  </r>
  <r>
    <s v="B099"/>
    <s v="Pooja Nair"/>
    <n v="44"/>
    <s v="F"/>
    <s v="Manali"/>
    <n v="21644"/>
    <s v="05-02-2026"/>
    <s v="Confirmed"/>
    <s v="41-45"/>
    <s v="02"/>
    <x v="1"/>
  </r>
  <r>
    <s v="B100"/>
    <s v="Rahul Sharma"/>
    <n v="23"/>
    <s v="F"/>
    <s v="Dubai"/>
    <n v="69832"/>
    <s v="09-01-2026"/>
    <s v="Cancelled"/>
    <s v="21-25"/>
    <s v="01"/>
    <x v="2"/>
  </r>
  <r>
    <s v="B101"/>
    <s v="Pooja Nair"/>
    <n v="38"/>
    <s v="M"/>
    <s v="Dubai"/>
    <n v="57289"/>
    <s v="19-01-2026"/>
    <s v="Confirmed"/>
    <s v="36-40"/>
    <s v="01"/>
    <x v="2"/>
  </r>
  <r>
    <s v="B102"/>
    <s v="Vikram Rao"/>
    <n v="22"/>
    <s v="F"/>
    <s v="Bali"/>
    <n v="64772"/>
    <s v="05-04-2026"/>
    <s v="Cancelled"/>
    <s v="21-25"/>
    <s v="04"/>
    <x v="2"/>
  </r>
  <r>
    <s v="B103"/>
    <s v="Sarthak Roy"/>
    <n v="37"/>
    <s v="M"/>
    <s v="Kerala"/>
    <n v="19759"/>
    <s v="01-05-2026"/>
    <s v="Confirmed"/>
    <s v="36-40"/>
    <s v="05"/>
    <x v="1"/>
  </r>
  <r>
    <s v="B104"/>
    <s v="Priya Singh"/>
    <n v="24"/>
    <s v="M"/>
    <s v="Dubai"/>
    <n v="60115"/>
    <s v="20-01-2026"/>
    <s v="Confirmed"/>
    <s v="21-25"/>
    <s v="01"/>
    <x v="2"/>
  </r>
  <r>
    <s v="B105"/>
    <s v="Aisha Khan"/>
    <n v="24"/>
    <s v="M"/>
    <s v="Manali"/>
    <n v="20799"/>
    <s v="28-04-2026"/>
    <s v="Confirmed"/>
    <s v="21-25"/>
    <s v="04"/>
    <x v="1"/>
  </r>
  <r>
    <s v="B106"/>
    <s v="Neha Gupta"/>
    <n v="23"/>
    <s v="M"/>
    <s v="Dubai"/>
    <n v="51601"/>
    <s v="16-06-2026"/>
    <s v="Confirmed"/>
    <s v="21-25"/>
    <s v="06"/>
    <x v="2"/>
  </r>
  <r>
    <s v="B107"/>
    <s v="Kavya Reddy"/>
    <n v="44"/>
    <s v="F"/>
    <s v="Manali"/>
    <n v="15325"/>
    <s v="19-06-2026"/>
    <s v="Confirmed"/>
    <s v="41-45"/>
    <s v="06"/>
    <x v="1"/>
  </r>
  <r>
    <s v="B108"/>
    <s v="Meera Iyer"/>
    <n v="24"/>
    <s v="M"/>
    <s v="Dubai"/>
    <n v="51352"/>
    <s v="14-03-2026"/>
    <s v="Cancelled"/>
    <s v="21-25"/>
    <s v="03"/>
    <x v="2"/>
  </r>
  <r>
    <s v="B109"/>
    <s v="Ananya Das"/>
    <n v="42"/>
    <s v="F"/>
    <s v="Goa"/>
    <n v="21453"/>
    <s v="11-05-2026"/>
    <s v="Confirmed"/>
    <s v="41-45"/>
    <s v="05"/>
    <x v="1"/>
  </r>
  <r>
    <s v="B110"/>
    <s v="Vikram Rao"/>
    <n v="43"/>
    <s v="F"/>
    <s v="Kashmir"/>
    <n v="26490"/>
    <s v="27-01-2026"/>
    <s v="Confirmed"/>
    <s v="41-45"/>
    <s v="01"/>
    <x v="1"/>
  </r>
  <r>
    <s v="B111"/>
    <s v="Sneha Patel"/>
    <n v="34"/>
    <s v="M"/>
    <s v="Manali"/>
    <n v="19272"/>
    <s v="05-03-2026"/>
    <s v="Cancelled"/>
    <s v="31-35"/>
    <s v="03"/>
    <x v="1"/>
  </r>
  <r>
    <s v="B112"/>
    <s v="Priya Singh"/>
    <n v="39"/>
    <s v="F"/>
    <s v="Dubai"/>
    <n v="71265"/>
    <s v="28-02-2026"/>
    <s v="Cancelled"/>
    <s v="36-40"/>
    <s v="02"/>
    <x v="2"/>
  </r>
  <r>
    <s v="B113"/>
    <s v="Arjun Kumar"/>
    <n v="41"/>
    <s v="M"/>
    <s v="Bali"/>
    <n v="56123"/>
    <s v="12-06-2026"/>
    <s v="Confirmed"/>
    <s v="41-45"/>
    <s v="06"/>
    <x v="2"/>
  </r>
  <r>
    <s v="B114"/>
    <s v="Ritika Sharma"/>
    <n v="44"/>
    <s v="F"/>
    <s v="Goa"/>
    <n v="20285"/>
    <s v="10-04-2026"/>
    <s v="Confirmed"/>
    <s v="41-45"/>
    <s v="04"/>
    <x v="1"/>
  </r>
  <r>
    <s v="B115"/>
    <s v="Meera Iyer"/>
    <n v="37"/>
    <s v="M"/>
    <s v="Manali"/>
    <n v="19396"/>
    <s v="09-06-2026"/>
    <s v="Cancelled"/>
    <s v="36-40"/>
    <s v="06"/>
    <x v="1"/>
  </r>
  <r>
    <s v="B116"/>
    <s v="Karan Mehta"/>
    <n v="42"/>
    <s v="M"/>
    <s v="Manali"/>
    <n v="16817"/>
    <s v="06-01-2026"/>
    <s v="Cancelled"/>
    <s v="41-45"/>
    <s v="01"/>
    <x v="1"/>
  </r>
  <r>
    <s v="B117"/>
    <s v="Aman Jain"/>
    <n v="25"/>
    <s v="M"/>
    <s v="Dubai"/>
    <n v="56948"/>
    <s v="12-02-2026"/>
    <s v="Cancelled"/>
    <s v="21-25"/>
    <s v="02"/>
    <x v="2"/>
  </r>
  <r>
    <s v="B118"/>
    <s v="Sneha Patel"/>
    <n v="36"/>
    <s v="F"/>
    <s v="Dubai"/>
    <n v="64851"/>
    <s v="21-02-2026"/>
    <s v="Cancelled"/>
    <s v="36-40"/>
    <s v="02"/>
    <x v="2"/>
  </r>
  <r>
    <s v="B119"/>
    <s v="Neha Gupta"/>
    <n v="24"/>
    <s v="F"/>
    <s v="Manali"/>
    <n v="23320"/>
    <s v="03-05-2026"/>
    <s v="Confirmed"/>
    <s v="21-25"/>
    <s v="05"/>
    <x v="1"/>
  </r>
  <r>
    <s v="B120"/>
    <s v="Pooja Nair"/>
    <n v="41"/>
    <s v="M"/>
    <s v="Kerala"/>
    <n v="21139"/>
    <s v="17-05-2026"/>
    <s v="Confirmed"/>
    <s v="41-45"/>
    <s v="05"/>
    <x v="1"/>
  </r>
  <r>
    <s v="B121"/>
    <s v="Ritika Sharma"/>
    <n v="30"/>
    <s v="F"/>
    <s v="Manali"/>
    <n v="19819"/>
    <s v="24-01-2026"/>
    <s v="Confirmed"/>
    <s v="26-30"/>
    <s v="01"/>
    <x v="1"/>
  </r>
  <r>
    <s v="B122"/>
    <s v="Pooja Nair"/>
    <n v="47"/>
    <s v="M"/>
    <s v="Kerala"/>
    <n v="22925"/>
    <s v="11-04-2026"/>
    <s v="Cancelled"/>
    <s v="46-50"/>
    <s v="04"/>
    <x v="1"/>
  </r>
  <r>
    <s v="B123"/>
    <s v="Sneha Patel"/>
    <n v="38"/>
    <s v="M"/>
    <s v="Bali"/>
    <n v="83411"/>
    <s v="01-02-2026"/>
    <s v="Confirmed"/>
    <s v="36-40"/>
    <s v="02"/>
    <x v="2"/>
  </r>
  <r>
    <s v="B124"/>
    <s v="Pooja Nair"/>
    <n v="35"/>
    <s v="M"/>
    <s v="Goa"/>
    <n v="18249"/>
    <s v="16-04-2026"/>
    <s v="Confirmed"/>
    <s v="31-35"/>
    <s v="04"/>
    <x v="1"/>
  </r>
  <r>
    <s v="B125"/>
    <s v="Aman Jain"/>
    <n v="50"/>
    <s v="F"/>
    <s v="Dubai"/>
    <n v="50046"/>
    <s v="11-04-2026"/>
    <s v="Confirmed"/>
    <s v="46-50"/>
    <s v="04"/>
    <x v="2"/>
  </r>
  <r>
    <s v="B126"/>
    <s v="Aman Jain"/>
    <n v="45"/>
    <s v="F"/>
    <s v="Bali"/>
    <n v="78802"/>
    <s v="26-02-2026"/>
    <s v="Confirmed"/>
    <s v="41-45"/>
    <s v="02"/>
    <x v="2"/>
  </r>
  <r>
    <s v="B127"/>
    <s v="Karan Mehta"/>
    <n v="37"/>
    <s v="F"/>
    <s v="Dubai"/>
    <n v="59638"/>
    <s v="10-04-2026"/>
    <s v="Cancelled"/>
    <s v="36-40"/>
    <s v="04"/>
    <x v="2"/>
  </r>
  <r>
    <s v="B128"/>
    <s v="Harsh Vardhan"/>
    <n v="26"/>
    <s v="F"/>
    <s v="Bali"/>
    <n v="70078"/>
    <s v="02-04-2026"/>
    <s v="Confirmed"/>
    <s v="26-30"/>
    <s v="04"/>
    <x v="2"/>
  </r>
  <r>
    <s v="B129"/>
    <s v="Ritika Sharma"/>
    <n v="33"/>
    <s v="M"/>
    <s v="Manali"/>
    <n v="18881"/>
    <s v="27-06-2026"/>
    <s v="Confirmed"/>
    <s v="31-35"/>
    <s v="06"/>
    <x v="1"/>
  </r>
  <r>
    <s v="B130"/>
    <s v="Aman Jain"/>
    <n v="30"/>
    <s v="M"/>
    <s v="Kerala"/>
    <n v="27543"/>
    <s v="06-03-2026"/>
    <s v="Cancelled"/>
    <s v="26-30"/>
    <s v="03"/>
    <x v="1"/>
  </r>
  <r>
    <s v="B131"/>
    <s v="Aman Jain"/>
    <n v="45"/>
    <s v="M"/>
    <s v="Dubai"/>
    <n v="62806"/>
    <s v="07-03-2026"/>
    <s v="Cancelled"/>
    <s v="41-45"/>
    <s v="03"/>
    <x v="2"/>
  </r>
  <r>
    <s v="B132"/>
    <s v="Pooja Nair"/>
    <n v="22"/>
    <s v="F"/>
    <s v="Dubai"/>
    <n v="64562"/>
    <s v="16-05-2026"/>
    <s v="Confirmed"/>
    <s v="21-25"/>
    <s v="05"/>
    <x v="2"/>
  </r>
  <r>
    <s v="B133"/>
    <s v="Kavya Reddy"/>
    <n v="41"/>
    <s v="M"/>
    <s v="Bali"/>
    <n v="61693"/>
    <s v="19-04-2026"/>
    <s v="Confirmed"/>
    <s v="41-45"/>
    <s v="04"/>
    <x v="2"/>
  </r>
  <r>
    <s v="B134"/>
    <s v="Priya Singh"/>
    <n v="40"/>
    <s v="M"/>
    <s v="Kashmir"/>
    <n v="39546"/>
    <s v="19-06-2026"/>
    <s v="Confirmed"/>
    <s v="36-40"/>
    <s v="06"/>
    <x v="0"/>
  </r>
  <r>
    <s v="B135"/>
    <s v="Aditya Verma"/>
    <n v="33"/>
    <s v="M"/>
    <s v="Dubai"/>
    <n v="52169"/>
    <s v="29-06-2026"/>
    <s v="Confirmed"/>
    <s v="31-35"/>
    <s v="06"/>
    <x v="2"/>
  </r>
  <r>
    <s v="B136"/>
    <s v="Aditya Verma"/>
    <n v="34"/>
    <s v="M"/>
    <s v="Bali"/>
    <n v="82570"/>
    <s v="06-02-2026"/>
    <s v="Confirmed"/>
    <s v="31-35"/>
    <s v="02"/>
    <x v="2"/>
  </r>
  <r>
    <s v="B137"/>
    <s v="Ananya Das"/>
    <n v="34"/>
    <s v="F"/>
    <s v="Dubai"/>
    <n v="71892"/>
    <s v="03-05-2026"/>
    <s v="Confirmed"/>
    <s v="31-35"/>
    <s v="05"/>
    <x v="2"/>
  </r>
  <r>
    <s v="B138"/>
    <s v="Meera Iyer"/>
    <n v="23"/>
    <s v="F"/>
    <s v="Goa"/>
    <n v="18181"/>
    <s v="05-02-2026"/>
    <s v="Confirmed"/>
    <s v="21-25"/>
    <s v="02"/>
    <x v="1"/>
  </r>
  <r>
    <s v="B139"/>
    <s v="Kavya Reddy"/>
    <n v="25"/>
    <s v="F"/>
    <s v="Dubai"/>
    <n v="55989"/>
    <s v="03-02-2026"/>
    <s v="Cancelled"/>
    <s v="21-25"/>
    <s v="02"/>
    <x v="2"/>
  </r>
  <r>
    <s v="B140"/>
    <s v="Meera Iyer"/>
    <n v="24"/>
    <s v="M"/>
    <s v="Kashmir"/>
    <n v="34107"/>
    <s v="26-04-2026"/>
    <s v="Confirmed"/>
    <s v="21-25"/>
    <s v="04"/>
    <x v="0"/>
  </r>
  <r>
    <s v="B141"/>
    <s v="Aditya Verma"/>
    <n v="37"/>
    <s v="F"/>
    <s v="Kerala"/>
    <n v="20777"/>
    <s v="05-04-2026"/>
    <s v="Confirmed"/>
    <s v="36-40"/>
    <s v="04"/>
    <x v="1"/>
  </r>
  <r>
    <s v="B142"/>
    <s v="Kavya Reddy"/>
    <n v="30"/>
    <s v="F"/>
    <s v="Manali"/>
    <n v="19897"/>
    <s v="29-01-2026"/>
    <s v="Confirmed"/>
    <s v="26-30"/>
    <s v="01"/>
    <x v="1"/>
  </r>
  <r>
    <s v="B143"/>
    <s v="Nikhil Joshi"/>
    <n v="39"/>
    <s v="M"/>
    <s v="Manali"/>
    <n v="24132"/>
    <s v="03-05-2026"/>
    <s v="Confirmed"/>
    <s v="36-40"/>
    <s v="05"/>
    <x v="1"/>
  </r>
  <r>
    <s v="B144"/>
    <s v="Sarthak Roy"/>
    <n v="36"/>
    <s v="F"/>
    <s v="Dubai"/>
    <n v="50468"/>
    <s v="28-02-2026"/>
    <s v="Confirmed"/>
    <s v="36-40"/>
    <s v="02"/>
    <x v="2"/>
  </r>
  <r>
    <s v="B145"/>
    <s v="Ananya Das"/>
    <n v="50"/>
    <s v="M"/>
    <s v="Goa"/>
    <n v="19315"/>
    <s v="19-03-2026"/>
    <s v="Confirmed"/>
    <s v="46-50"/>
    <s v="03"/>
    <x v="1"/>
  </r>
  <r>
    <s v="B146"/>
    <s v="Aditya Verma"/>
    <n v="29"/>
    <s v="M"/>
    <s v="Dubai"/>
    <n v="59349"/>
    <s v="04-01-2026"/>
    <s v="Confirmed"/>
    <s v="26-30"/>
    <s v="01"/>
    <x v="2"/>
  </r>
  <r>
    <s v="B147"/>
    <s v="Harsh Vardhan"/>
    <n v="22"/>
    <s v="M"/>
    <s v="Goa"/>
    <n v="14368"/>
    <s v="13-03-2026"/>
    <s v="Confirmed"/>
    <s v="21-25"/>
    <s v="03"/>
    <x v="1"/>
  </r>
  <r>
    <s v="B148"/>
    <s v="Harsh Vardhan"/>
    <n v="35"/>
    <s v="M"/>
    <s v="Bali"/>
    <n v="67938"/>
    <s v="26-06-2026"/>
    <s v="Confirmed"/>
    <s v="31-35"/>
    <s v="06"/>
    <x v="2"/>
  </r>
  <r>
    <s v="B149"/>
    <s v="Sneha Patel"/>
    <n v="37"/>
    <s v="M"/>
    <s v="Kerala"/>
    <n v="18361"/>
    <s v="11-02-2026"/>
    <s v="Confirmed"/>
    <s v="36-40"/>
    <s v="02"/>
    <x v="1"/>
  </r>
  <r>
    <s v="B150"/>
    <s v="Arjun Kumar"/>
    <n v="33"/>
    <s v="M"/>
    <s v="Kashmir"/>
    <n v="38962"/>
    <s v="05-04-2026"/>
    <s v="Confirmed"/>
    <s v="31-35"/>
    <s v="04"/>
    <x v="0"/>
  </r>
  <r>
    <s v="B151"/>
    <s v="Sarthak Roy"/>
    <n v="23"/>
    <s v="M"/>
    <s v="Dubai"/>
    <n v="74134"/>
    <s v="16-02-2026"/>
    <s v="Confirmed"/>
    <s v="21-25"/>
    <s v="02"/>
    <x v="2"/>
  </r>
  <r>
    <s v="B152"/>
    <s v="Rahul Sharma"/>
    <n v="31"/>
    <s v="F"/>
    <s v="Dubai"/>
    <n v="58267"/>
    <s v="13-06-2026"/>
    <s v="Confirmed"/>
    <s v="31-35"/>
    <s v="06"/>
    <x v="2"/>
  </r>
  <r>
    <s v="B153"/>
    <s v="Sarthak Roy"/>
    <n v="30"/>
    <s v="M"/>
    <s v="Manali"/>
    <n v="24514"/>
    <s v="24-05-2026"/>
    <s v="Confirmed"/>
    <s v="26-30"/>
    <s v="05"/>
    <x v="1"/>
  </r>
  <r>
    <s v="B154"/>
    <s v="Nikhil Joshi"/>
    <n v="26"/>
    <s v="M"/>
    <s v="Kashmir"/>
    <n v="32496"/>
    <s v="02-04-2026"/>
    <s v="Confirmed"/>
    <s v="26-30"/>
    <s v="04"/>
    <x v="0"/>
  </r>
  <r>
    <s v="B155"/>
    <s v="Vikram Rao"/>
    <n v="33"/>
    <s v="M"/>
    <s v="Manali"/>
    <n v="15864"/>
    <s v="06-05-2026"/>
    <s v="Confirmed"/>
    <s v="31-35"/>
    <s v="05"/>
    <x v="1"/>
  </r>
  <r>
    <s v="B156"/>
    <s v="Ritika Sharma"/>
    <n v="32"/>
    <s v="F"/>
    <s v="Bali"/>
    <n v="81861"/>
    <s v="06-01-2026"/>
    <s v="Confirmed"/>
    <s v="31-35"/>
    <s v="01"/>
    <x v="2"/>
  </r>
  <r>
    <s v="B157"/>
    <s v="Priya Singh"/>
    <n v="25"/>
    <s v="F"/>
    <s v="Goa"/>
    <n v="19422"/>
    <s v="15-01-2026"/>
    <s v="Confirmed"/>
    <s v="21-25"/>
    <s v="01"/>
    <x v="1"/>
  </r>
  <r>
    <s v="B158"/>
    <s v="Ritika Sharma"/>
    <n v="37"/>
    <s v="M"/>
    <s v="Kerala"/>
    <n v="22509"/>
    <s v="27-05-2026"/>
    <s v="Cancelled"/>
    <s v="36-40"/>
    <s v="05"/>
    <x v="1"/>
  </r>
  <r>
    <s v="B159"/>
    <s v="Harsh Vardhan"/>
    <n v="48"/>
    <s v="F"/>
    <s v="Bali"/>
    <n v="80603"/>
    <s v="24-01-2026"/>
    <s v="Confirmed"/>
    <s v="46-50"/>
    <s v="01"/>
    <x v="2"/>
  </r>
  <r>
    <s v="B160"/>
    <s v="Nikhil Joshi"/>
    <n v="28"/>
    <s v="M"/>
    <s v="Dubai"/>
    <n v="56355"/>
    <s v="22-06-2026"/>
    <s v="Confirmed"/>
    <s v="26-30"/>
    <s v="06"/>
    <x v="2"/>
  </r>
  <r>
    <s v="B161"/>
    <s v="Pooja Nair"/>
    <n v="36"/>
    <s v="M"/>
    <s v="Kashmir"/>
    <n v="37200"/>
    <s v="10-01-2026"/>
    <s v="Confirmed"/>
    <s v="36-40"/>
    <s v="01"/>
    <x v="0"/>
  </r>
  <r>
    <s v="B162"/>
    <s v="Pooja Nair"/>
    <n v="37"/>
    <s v="F"/>
    <s v="Kashmir"/>
    <n v="30451"/>
    <s v="19-04-2026"/>
    <s v="Confirmed"/>
    <s v="36-40"/>
    <s v="04"/>
    <x v="0"/>
  </r>
  <r>
    <s v="B163"/>
    <s v="Arjun Kumar"/>
    <n v="43"/>
    <s v="M"/>
    <s v="Manali"/>
    <n v="20825"/>
    <s v="09-05-2026"/>
    <s v="Confirmed"/>
    <s v="41-45"/>
    <s v="05"/>
    <x v="1"/>
  </r>
  <r>
    <s v="B164"/>
    <s v="Nikhil Joshi"/>
    <n v="24"/>
    <s v="M"/>
    <s v="Dubai"/>
    <n v="62068"/>
    <s v="09-01-2026"/>
    <s v="Confirmed"/>
    <s v="21-25"/>
    <s v="01"/>
    <x v="2"/>
  </r>
  <r>
    <s v="B165"/>
    <s v="Harsh Vardhan"/>
    <n v="42"/>
    <s v="F"/>
    <s v="Kerala"/>
    <n v="18826"/>
    <s v="24-06-2026"/>
    <s v="Confirmed"/>
    <s v="41-45"/>
    <s v="06"/>
    <x v="1"/>
  </r>
  <r>
    <s v="B166"/>
    <s v="Neha Gupta"/>
    <n v="45"/>
    <s v="F"/>
    <s v="Goa"/>
    <n v="14582"/>
    <s v="06-05-2026"/>
    <s v="Cancelled"/>
    <s v="41-45"/>
    <s v="05"/>
    <x v="1"/>
  </r>
  <r>
    <s v="B167"/>
    <s v="Arjun Kumar"/>
    <n v="43"/>
    <s v="M"/>
    <s v="Bali"/>
    <n v="83413"/>
    <s v="20-06-2026"/>
    <s v="Confirmed"/>
    <s v="41-45"/>
    <s v="06"/>
    <x v="2"/>
  </r>
  <r>
    <s v="B168"/>
    <s v="Rahul Sharma"/>
    <n v="49"/>
    <s v="M"/>
    <s v="Bali"/>
    <n v="68575"/>
    <s v="10-02-2026"/>
    <s v="Cancelled"/>
    <s v="46-50"/>
    <s v="02"/>
    <x v="2"/>
  </r>
  <r>
    <s v="B169"/>
    <s v="Vikram Rao"/>
    <n v="25"/>
    <s v="M"/>
    <s v="Kerala"/>
    <n v="23848"/>
    <s v="17-05-2026"/>
    <s v="Confirmed"/>
    <s v="21-25"/>
    <s v="05"/>
    <x v="1"/>
  </r>
  <r>
    <s v="B170"/>
    <s v="Rahul Sharma"/>
    <n v="34"/>
    <s v="F"/>
    <s v="Manali"/>
    <n v="21410"/>
    <s v="28-03-2026"/>
    <s v="Confirmed"/>
    <s v="31-35"/>
    <s v="03"/>
    <x v="1"/>
  </r>
  <r>
    <s v="B171"/>
    <s v="Rahul Sharma"/>
    <n v="33"/>
    <s v="F"/>
    <s v="Goa"/>
    <n v="19154"/>
    <s v="21-04-2026"/>
    <s v="Confirmed"/>
    <s v="31-35"/>
    <s v="04"/>
    <x v="1"/>
  </r>
  <r>
    <s v="B172"/>
    <s v="Sarthak Roy"/>
    <n v="35"/>
    <s v="M"/>
    <s v="Bali"/>
    <n v="80473"/>
    <s v="07-03-2026"/>
    <s v="Confirmed"/>
    <s v="31-35"/>
    <s v="03"/>
    <x v="2"/>
  </r>
  <r>
    <s v="B173"/>
    <s v="Meera Iyer"/>
    <n v="38"/>
    <s v="M"/>
    <s v="Bali"/>
    <n v="55470"/>
    <s v="15-04-2026"/>
    <s v="Confirmed"/>
    <s v="36-40"/>
    <s v="04"/>
    <x v="2"/>
  </r>
  <r>
    <s v="B174"/>
    <s v="Harsh Vardhan"/>
    <n v="31"/>
    <s v="M"/>
    <s v="Kashmir"/>
    <n v="29151"/>
    <s v="20-04-2026"/>
    <s v="Cancelled"/>
    <s v="31-35"/>
    <s v="04"/>
    <x v="1"/>
  </r>
  <r>
    <s v="B175"/>
    <s v="Aisha Khan"/>
    <n v="25"/>
    <s v="F"/>
    <s v="Dubai"/>
    <n v="71584"/>
    <s v="25-01-2026"/>
    <s v="Confirmed"/>
    <s v="21-25"/>
    <s v="01"/>
    <x v="2"/>
  </r>
  <r>
    <s v="B176"/>
    <s v="Ananya Das"/>
    <n v="21"/>
    <s v="F"/>
    <s v="Manali"/>
    <n v="21134"/>
    <s v="03-03-2026"/>
    <s v="Cancelled"/>
    <s v="21-25"/>
    <s v="03"/>
    <x v="1"/>
  </r>
  <r>
    <s v="B177"/>
    <s v="Sneha Patel"/>
    <n v="22"/>
    <s v="F"/>
    <s v="Manali"/>
    <n v="17465"/>
    <s v="30-06-2026"/>
    <s v="Confirmed"/>
    <s v="21-25"/>
    <s v="06"/>
    <x v="1"/>
  </r>
  <r>
    <s v="B178"/>
    <s v="Sneha Patel"/>
    <n v="30"/>
    <s v="F"/>
    <s v="Kashmir"/>
    <n v="33605"/>
    <s v="29-06-2026"/>
    <s v="Confirmed"/>
    <s v="26-30"/>
    <s v="06"/>
    <x v="0"/>
  </r>
  <r>
    <s v="B179"/>
    <s v="Nikhil Joshi"/>
    <n v="38"/>
    <s v="F"/>
    <s v="Dubai"/>
    <n v="53733"/>
    <s v="22-02-2026"/>
    <s v="Confirmed"/>
    <s v="36-40"/>
    <s v="02"/>
    <x v="2"/>
  </r>
  <r>
    <s v="B180"/>
    <s v="Sneha Patel"/>
    <n v="42"/>
    <s v="M"/>
    <s v="Manali"/>
    <n v="20285"/>
    <s v="11-02-2026"/>
    <s v="Confirmed"/>
    <s v="41-45"/>
    <s v="02"/>
    <x v="1"/>
  </r>
  <r>
    <s v="B181"/>
    <s v="Pooja Nair"/>
    <n v="30"/>
    <s v="F"/>
    <s v="Kashmir"/>
    <n v="27845"/>
    <s v="15-01-2026"/>
    <s v="Confirmed"/>
    <s v="26-30"/>
    <s v="01"/>
    <x v="1"/>
  </r>
  <r>
    <s v="B182"/>
    <s v="Rohan Das"/>
    <n v="30"/>
    <s v="F"/>
    <s v="Bali"/>
    <n v="73157"/>
    <s v="17-04-2026"/>
    <s v="Cancelled"/>
    <s v="26-30"/>
    <s v="04"/>
    <x v="2"/>
  </r>
  <r>
    <s v="B183"/>
    <s v="Arjun Kumar"/>
    <n v="50"/>
    <s v="M"/>
    <s v="Goa"/>
    <n v="19525"/>
    <s v="04-03-2026"/>
    <s v="Cancelled"/>
    <s v="46-50"/>
    <s v="03"/>
    <x v="1"/>
  </r>
  <r>
    <s v="B184"/>
    <s v="Ananya Das"/>
    <n v="23"/>
    <s v="M"/>
    <s v="Manali"/>
    <n v="19082"/>
    <s v="28-06-2026"/>
    <s v="Confirmed"/>
    <s v="21-25"/>
    <s v="06"/>
    <x v="1"/>
  </r>
  <r>
    <s v="B185"/>
    <s v="Rahul Sharma"/>
    <n v="44"/>
    <s v="M"/>
    <s v="Kashmir"/>
    <n v="28266"/>
    <s v="28-06-2026"/>
    <s v="Confirmed"/>
    <s v="41-45"/>
    <s v="06"/>
    <x v="1"/>
  </r>
  <r>
    <s v="B186"/>
    <s v="Karan Mehta"/>
    <n v="41"/>
    <s v="F"/>
    <s v="Manali"/>
    <n v="19787"/>
    <s v="19-01-2026"/>
    <s v="Confirmed"/>
    <s v="41-45"/>
    <s v="01"/>
    <x v="1"/>
  </r>
  <r>
    <s v="B187"/>
    <s v="Priya Singh"/>
    <n v="24"/>
    <s v="M"/>
    <s v="Kerala"/>
    <n v="27817"/>
    <s v="14-04-2026"/>
    <s v="Cancelled"/>
    <s v="21-25"/>
    <s v="04"/>
    <x v="1"/>
  </r>
  <r>
    <s v="B188"/>
    <s v="Rahul Sharma"/>
    <n v="49"/>
    <s v="M"/>
    <s v="Goa"/>
    <n v="15068"/>
    <s v="06-04-2026"/>
    <s v="Confirmed"/>
    <s v="46-50"/>
    <s v="04"/>
    <x v="1"/>
  </r>
  <r>
    <s v="B189"/>
    <s v="Ritika Sharma"/>
    <n v="40"/>
    <s v="F"/>
    <s v="Kerala"/>
    <n v="18938"/>
    <s v="20-03-2026"/>
    <s v="Cancelled"/>
    <s v="36-40"/>
    <s v="03"/>
    <x v="1"/>
  </r>
  <r>
    <s v="B190"/>
    <s v="Kavya Reddy"/>
    <n v="22"/>
    <s v="F"/>
    <s v="Manali"/>
    <n v="19651"/>
    <s v="08-06-2026"/>
    <s v="Confirmed"/>
    <s v="21-25"/>
    <s v="06"/>
    <x v="1"/>
  </r>
  <r>
    <s v="B191"/>
    <s v="Kavya Reddy"/>
    <n v="25"/>
    <s v="M"/>
    <s v="Dubai"/>
    <n v="70837"/>
    <s v="09-04-2026"/>
    <s v="Cancelled"/>
    <s v="21-25"/>
    <s v="04"/>
    <x v="2"/>
  </r>
  <r>
    <s v="B192"/>
    <s v="Ananya Das"/>
    <n v="43"/>
    <s v="M"/>
    <s v="Kashmir"/>
    <n v="33309"/>
    <s v="13-06-2026"/>
    <s v="Confirmed"/>
    <s v="41-45"/>
    <s v="06"/>
    <x v="0"/>
  </r>
  <r>
    <s v="B193"/>
    <s v="Nikhil Joshi"/>
    <n v="32"/>
    <s v="F"/>
    <s v="Kerala"/>
    <n v="19949"/>
    <s v="05-01-2026"/>
    <s v="Confirmed"/>
    <s v="31-35"/>
    <s v="01"/>
    <x v="1"/>
  </r>
  <r>
    <s v="B194"/>
    <s v="Aisha Khan"/>
    <n v="42"/>
    <s v="F"/>
    <s v="Bali"/>
    <n v="81517"/>
    <s v="05-01-2026"/>
    <s v="Confirmed"/>
    <s v="41-45"/>
    <s v="01"/>
    <x v="2"/>
  </r>
  <r>
    <s v="B195"/>
    <s v="Karan Mehta"/>
    <n v="46"/>
    <s v="M"/>
    <s v="Bali"/>
    <n v="61562"/>
    <s v="28-02-2026"/>
    <s v="Cancelled"/>
    <s v="46-50"/>
    <s v="02"/>
    <x v="2"/>
  </r>
  <r>
    <s v="B196"/>
    <s v="Rohan Das"/>
    <n v="46"/>
    <s v="M"/>
    <s v="Manali"/>
    <n v="15703"/>
    <s v="05-03-2026"/>
    <s v="Confirmed"/>
    <s v="46-50"/>
    <s v="03"/>
    <x v="1"/>
  </r>
  <r>
    <s v="B197"/>
    <s v="Karan Mehta"/>
    <n v="30"/>
    <s v="M"/>
    <s v="Manali"/>
    <n v="18266"/>
    <s v="09-02-2026"/>
    <s v="Confirmed"/>
    <s v="26-30"/>
    <s v="02"/>
    <x v="1"/>
  </r>
  <r>
    <s v="B198"/>
    <s v="Karan Mehta"/>
    <n v="39"/>
    <s v="F"/>
    <s v="Manali"/>
    <n v="21283"/>
    <s v="22-01-2026"/>
    <s v="Confirmed"/>
    <s v="36-40"/>
    <s v="01"/>
    <x v="1"/>
  </r>
  <r>
    <s v="B199"/>
    <s v="Pooja Nair"/>
    <n v="39"/>
    <s v="M"/>
    <s v="Kashmir"/>
    <n v="37630"/>
    <s v="25-03-2026"/>
    <s v="Confirmed"/>
    <s v="36-40"/>
    <s v="03"/>
    <x v="0"/>
  </r>
  <r>
    <s v="B200"/>
    <s v="Ananya Das"/>
    <n v="42"/>
    <s v="M"/>
    <s v="Kerala"/>
    <n v="27364"/>
    <s v="31-05-2026"/>
    <s v="Confirmed"/>
    <s v="41-45"/>
    <s v="0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E1E5A-6E50-4975-83AB-C41AE18BAF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0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3"/>
        <item x="2"/>
        <item x="0"/>
        <item x="1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ooking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BAFD8-98D3-4542-9A24-28694667557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3"/>
        <item x="2"/>
        <item x="0"/>
        <item x="1"/>
        <item x="5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ackage_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5B09A-5725-4D44-BFD9-8BF588C497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4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A013-D716-453E-8A02-E283F1E966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32" firstHeaderRow="1" firstDataRow="1" firstDataCol="1"/>
  <pivotFields count="8">
    <pivotField dataField="1" compact="0" outline="0" showAll="0"/>
    <pivotField compact="0" outline="0" showAll="0"/>
    <pivotField axis="axisRow" compact="0" outline="0" showAll="0">
      <items count="31">
        <item x="23"/>
        <item x="13"/>
        <item x="9"/>
        <item x="19"/>
        <item x="22"/>
        <item x="6"/>
        <item x="21"/>
        <item x="3"/>
        <item x="17"/>
        <item x="1"/>
        <item x="0"/>
        <item x="27"/>
        <item x="15"/>
        <item x="20"/>
        <item x="7"/>
        <item x="11"/>
        <item x="4"/>
        <item x="12"/>
        <item x="25"/>
        <item x="10"/>
        <item x="28"/>
        <item x="26"/>
        <item x="16"/>
        <item x="18"/>
        <item x="5"/>
        <item x="29"/>
        <item x="2"/>
        <item x="24"/>
        <item x="1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7A81A-0012-4A7A-B5F6-3D9519F47D0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1"/>
        <item x="0"/>
        <item x="3"/>
        <item x="4"/>
        <item x="2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A6B04-3DB0-4979-903E-20FCB076BAB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9"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79A77-0AFA-4834-BC67-16C7366D288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5"/>
        <item x="0"/>
        <item x="4"/>
        <item x="1"/>
        <item x="3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Booking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8AACC-4A8E-4ED8-9B9A-864AC79ABBC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ackage_Cos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2668B-AE0D-46B8-A30F-CC48AB7CD93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1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1"/>
        <item x="0"/>
        <item x="3"/>
        <item x="4"/>
        <item x="2"/>
        <item x="6"/>
        <item t="default"/>
      </items>
    </pivotField>
    <pivotField compact="0" outline="0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ackage_Cos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E8219-D904-4BA8-8A77-86B30F08985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1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5"/>
        <item x="0"/>
        <item x="4"/>
        <item x="1"/>
        <item x="3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ackage_Cos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29753-18E1-4B33-A3E2-BAB57BE8B7F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" firstHeaderRow="1" firstDataRow="2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3"/>
        <item x="2"/>
        <item x="0"/>
        <item x="1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39630-E335-4869-BF7D-F1D6AE24BCB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0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 v="1"/>
    </i>
    <i>
      <x/>
    </i>
    <i>
      <x v="3"/>
    </i>
    <i>
      <x v="5"/>
    </i>
    <i>
      <x v="2"/>
    </i>
    <i>
      <x v="4"/>
    </i>
    <i t="grand">
      <x/>
    </i>
  </rowItems>
  <colItems count="1">
    <i/>
  </colItems>
  <dataFields count="1">
    <dataField name="Sum of Package_Cost" fld="5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EE9A5-2D04-478E-8F7C-169FBCFAE49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4"/>
        <item x="3"/>
        <item x="2"/>
        <item x="0"/>
        <item x="1"/>
        <item x="5"/>
        <item x="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ackage_Cost" fld="5" subtotal="average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outline="0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2AF70-F349-42E0-8445-AC287FE3FC6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ooking_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outline="0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DB837-869C-49B3-B705-9CF997DC18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ackage_Cost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outline="0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8</v>
    <v>200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559A9-28A6-4E69-AD4B-E2ACD78E3D16}" name="Table1" displayName="Table1" ref="A2:B9" totalsRowShown="0" headerRowDxfId="23" headerRowBorderDxfId="22" tableBorderDxfId="21" totalsRowBorderDxfId="20">
  <autoFilter ref="A2:B9" xr:uid="{811559A9-28A6-4E69-AD4B-E2ACD78E3D16}"/>
  <tableColumns count="2">
    <tableColumn id="1" xr3:uid="{01FBA807-0BE0-4520-B569-FAAE1AB6C153}" name="Metric" dataDxfId="19"/>
    <tableColumn id="2" xr3:uid="{B7C30618-3F8D-48F1-87FC-1633174462AD}" name="Value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B2F6F-D378-441C-9640-B26E6A3897A1}" name="Table2" displayName="Table2" ref="A3:J35" totalsRowShown="0">
  <autoFilter ref="A3:J35" xr:uid="{0C2B2F6F-D378-441C-9640-B26E6A3897A1}"/>
  <tableColumns count="10">
    <tableColumn id="1" xr3:uid="{DCBA8C0E-BC08-4A4F-8FF9-C072D79793C3}" name="Booking_ID"/>
    <tableColumn id="2" xr3:uid="{C896934C-D237-49DA-BA78-F248B083C01B}" name="Customer_Name"/>
    <tableColumn id="3" xr3:uid="{14830B75-4E1B-4AAC-8E19-9B05BC72C1CD}" name="Age"/>
    <tableColumn id="4" xr3:uid="{6A68CE9F-93B7-41D3-B46E-D7F419EF9B72}" name="Gender"/>
    <tableColumn id="5" xr3:uid="{E2979A69-487D-4003-9311-8054E8287172}" name="Destination"/>
    <tableColumn id="6" xr3:uid="{E66EEA13-811D-4616-8455-A2758A059F3D}" name="Package_Cost"/>
    <tableColumn id="7" xr3:uid="{A2FEBCB2-B797-4548-97F9-802B037D86F6}" name="Booking_Date"/>
    <tableColumn id="8" xr3:uid="{241C5E88-D9DA-47C8-AE6F-BB774D23427B}" name="Status"/>
    <tableColumn id="9" xr3:uid="{6C5F5DF2-DC6E-4FFD-B24B-F012B4926279}" name="Age_group"/>
    <tableColumn id="10" xr3:uid="{81FE6072-7AA5-4A8A-9AD3-6CC073BF5AD4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5F73-487C-4E2D-AB84-203DBDAD60C0}">
  <dimension ref="A3:B10"/>
  <sheetViews>
    <sheetView workbookViewId="0">
      <selection activeCell="B4" sqref="B4:B9"/>
    </sheetView>
  </sheetViews>
  <sheetFormatPr defaultRowHeight="14.25" x14ac:dyDescent="0.45"/>
  <cols>
    <col min="1" max="1" width="14.265625" bestFit="1" customWidth="1"/>
    <col min="2" max="2" width="19.1328125" bestFit="1" customWidth="1"/>
  </cols>
  <sheetData>
    <row r="3" spans="1:2" x14ac:dyDescent="0.45">
      <c r="A3" s="1" t="s">
        <v>4</v>
      </c>
      <c r="B3" t="s">
        <v>95</v>
      </c>
    </row>
    <row r="4" spans="1:2" x14ac:dyDescent="0.45">
      <c r="A4" t="s">
        <v>11</v>
      </c>
      <c r="B4">
        <v>32</v>
      </c>
    </row>
    <row r="5" spans="1:2" x14ac:dyDescent="0.45">
      <c r="A5" t="s">
        <v>96</v>
      </c>
      <c r="B5">
        <v>41</v>
      </c>
    </row>
    <row r="6" spans="1:2" x14ac:dyDescent="0.45">
      <c r="A6" t="s">
        <v>97</v>
      </c>
      <c r="B6">
        <v>33</v>
      </c>
    </row>
    <row r="7" spans="1:2" x14ac:dyDescent="0.45">
      <c r="A7" t="s">
        <v>98</v>
      </c>
      <c r="B7">
        <v>35</v>
      </c>
    </row>
    <row r="8" spans="1:2" x14ac:dyDescent="0.45">
      <c r="A8" t="s">
        <v>99</v>
      </c>
      <c r="B8">
        <v>23</v>
      </c>
    </row>
    <row r="9" spans="1:2" x14ac:dyDescent="0.45">
      <c r="A9" t="s">
        <v>100</v>
      </c>
      <c r="B9">
        <v>36</v>
      </c>
    </row>
    <row r="10" spans="1:2" x14ac:dyDescent="0.45">
      <c r="A10" t="s">
        <v>101</v>
      </c>
      <c r="B10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050F-CADD-4777-A4A0-FFCE595D3348}">
  <dimension ref="A1:B8"/>
  <sheetViews>
    <sheetView workbookViewId="0">
      <selection activeCell="B6" sqref="B6"/>
    </sheetView>
  </sheetViews>
  <sheetFormatPr defaultRowHeight="14.25" x14ac:dyDescent="0.45"/>
  <cols>
    <col min="1" max="1" width="14.265625" bestFit="1" customWidth="1"/>
    <col min="2" max="2" width="19.86328125" bestFit="1" customWidth="1"/>
  </cols>
  <sheetData>
    <row r="1" spans="1:2" x14ac:dyDescent="0.45">
      <c r="A1" s="1" t="s">
        <v>4</v>
      </c>
      <c r="B1" t="s">
        <v>102</v>
      </c>
    </row>
    <row r="2" spans="1:2" x14ac:dyDescent="0.45">
      <c r="A2" t="s">
        <v>11</v>
      </c>
      <c r="B2">
        <v>2251676</v>
      </c>
    </row>
    <row r="3" spans="1:2" x14ac:dyDescent="0.45">
      <c r="A3" t="s">
        <v>96</v>
      </c>
      <c r="B3">
        <v>2493352</v>
      </c>
    </row>
    <row r="4" spans="1:2" x14ac:dyDescent="0.45">
      <c r="A4" t="s">
        <v>97</v>
      </c>
      <c r="B4">
        <v>600006</v>
      </c>
    </row>
    <row r="5" spans="1:2" x14ac:dyDescent="0.45">
      <c r="A5" t="s">
        <v>98</v>
      </c>
      <c r="B5">
        <v>1134593</v>
      </c>
    </row>
    <row r="6" spans="1:2" x14ac:dyDescent="0.45">
      <c r="A6" t="s">
        <v>99</v>
      </c>
      <c r="B6">
        <v>516974</v>
      </c>
    </row>
    <row r="7" spans="1:2" x14ac:dyDescent="0.45">
      <c r="A7" t="s">
        <v>100</v>
      </c>
      <c r="B7">
        <v>736589</v>
      </c>
    </row>
    <row r="8" spans="1:2" x14ac:dyDescent="0.45">
      <c r="A8" t="s">
        <v>101</v>
      </c>
      <c r="B8">
        <v>7733190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37B-B8BF-4EC0-A651-89DBE21EE991}">
  <dimension ref="A1:B4"/>
  <sheetViews>
    <sheetView workbookViewId="0">
      <selection sqref="A1:B4"/>
    </sheetView>
  </sheetViews>
  <sheetFormatPr defaultRowHeight="14.25" x14ac:dyDescent="0.45"/>
  <cols>
    <col min="1" max="1" width="11.3984375" bestFit="1" customWidth="1"/>
    <col min="2" max="2" width="19.1328125" bestFit="1" customWidth="1"/>
  </cols>
  <sheetData>
    <row r="1" spans="1:2" x14ac:dyDescent="0.45">
      <c r="A1" s="1" t="s">
        <v>7</v>
      </c>
      <c r="B1" t="s">
        <v>95</v>
      </c>
    </row>
    <row r="2" spans="1:2" x14ac:dyDescent="0.45">
      <c r="A2" t="s">
        <v>13</v>
      </c>
      <c r="B2">
        <v>45</v>
      </c>
    </row>
    <row r="3" spans="1:2" x14ac:dyDescent="0.45">
      <c r="A3" t="s">
        <v>18</v>
      </c>
      <c r="B3">
        <v>155</v>
      </c>
    </row>
    <row r="4" spans="1:2" x14ac:dyDescent="0.45">
      <c r="A4" t="s">
        <v>101</v>
      </c>
      <c r="B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B7D3-A4DD-44E8-B3B0-9BBA8C057E65}">
  <dimension ref="A2:B9"/>
  <sheetViews>
    <sheetView workbookViewId="0">
      <selection activeCell="D14" sqref="D14"/>
    </sheetView>
  </sheetViews>
  <sheetFormatPr defaultRowHeight="14.25" x14ac:dyDescent="0.45"/>
  <cols>
    <col min="1" max="1" width="24.265625" bestFit="1" customWidth="1"/>
    <col min="2" max="2" width="10.59765625" bestFit="1" customWidth="1"/>
  </cols>
  <sheetData>
    <row r="2" spans="1:2" x14ac:dyDescent="0.45">
      <c r="A2" s="6" t="s">
        <v>103</v>
      </c>
      <c r="B2" s="2" t="s">
        <v>104</v>
      </c>
    </row>
    <row r="3" spans="1:2" x14ac:dyDescent="0.45">
      <c r="A3" s="7" t="s">
        <v>105</v>
      </c>
      <c r="B3" s="3">
        <v>200</v>
      </c>
    </row>
    <row r="4" spans="1:2" x14ac:dyDescent="0.45">
      <c r="A4" s="7" t="s">
        <v>106</v>
      </c>
      <c r="B4" s="3">
        <v>155</v>
      </c>
    </row>
    <row r="5" spans="1:2" x14ac:dyDescent="0.45">
      <c r="A5" s="7" t="s">
        <v>107</v>
      </c>
      <c r="B5" s="3">
        <v>45</v>
      </c>
    </row>
    <row r="6" spans="1:2" x14ac:dyDescent="0.45">
      <c r="A6" s="7" t="s">
        <v>108</v>
      </c>
      <c r="B6" s="4">
        <v>0.22500000000000001</v>
      </c>
    </row>
    <row r="7" spans="1:2" x14ac:dyDescent="0.45">
      <c r="A7" s="7" t="s">
        <v>109</v>
      </c>
      <c r="B7" s="3" t="s">
        <v>96</v>
      </c>
    </row>
    <row r="8" spans="1:2" x14ac:dyDescent="0.45">
      <c r="A8" s="7" t="s">
        <v>110</v>
      </c>
      <c r="B8" s="3" t="s">
        <v>96</v>
      </c>
    </row>
    <row r="9" spans="1:2" x14ac:dyDescent="0.45">
      <c r="A9" s="8" t="s">
        <v>111</v>
      </c>
      <c r="B9" s="5" t="s">
        <v>112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4542-ED65-4D70-9758-1F74926FAA56}">
  <dimension ref="A1:J35"/>
  <sheetViews>
    <sheetView workbookViewId="0"/>
  </sheetViews>
  <sheetFormatPr defaultRowHeight="14.25" x14ac:dyDescent="0.45"/>
  <cols>
    <col min="1" max="1" width="13.3984375" bestFit="1" customWidth="1"/>
    <col min="2" max="2" width="18.1328125" bestFit="1" customWidth="1"/>
    <col min="4" max="4" width="9.73046875" bestFit="1" customWidth="1"/>
    <col min="5" max="5" width="13.3984375" bestFit="1" customWidth="1"/>
    <col min="6" max="6" width="15.3984375" bestFit="1" customWidth="1"/>
    <col min="7" max="7" width="15.73046875" bestFit="1" customWidth="1"/>
    <col min="8" max="8" width="10" bestFit="1" customWidth="1"/>
    <col min="9" max="9" width="12.86328125" bestFit="1" customWidth="1"/>
  </cols>
  <sheetData>
    <row r="1" spans="1:10" x14ac:dyDescent="0.45">
      <c r="A1" s="10" t="s">
        <v>113</v>
      </c>
    </row>
    <row r="3" spans="1:10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114</v>
      </c>
      <c r="J3" t="s">
        <v>115</v>
      </c>
    </row>
    <row r="4" spans="1:10" x14ac:dyDescent="0.45">
      <c r="A4" t="s">
        <v>8</v>
      </c>
      <c r="B4" t="s">
        <v>9</v>
      </c>
      <c r="C4">
        <v>46</v>
      </c>
      <c r="D4" t="s">
        <v>10</v>
      </c>
      <c r="E4" t="s">
        <v>11</v>
      </c>
      <c r="F4">
        <v>61562</v>
      </c>
      <c r="G4" t="s">
        <v>12</v>
      </c>
      <c r="H4" t="s">
        <v>13</v>
      </c>
      <c r="I4" t="s">
        <v>116</v>
      </c>
      <c r="J4" t="s">
        <v>117</v>
      </c>
    </row>
    <row r="5" spans="1:10" x14ac:dyDescent="0.45">
      <c r="A5" t="s">
        <v>14</v>
      </c>
      <c r="B5" t="s">
        <v>15</v>
      </c>
      <c r="C5">
        <v>42</v>
      </c>
      <c r="D5" t="s">
        <v>16</v>
      </c>
      <c r="E5" t="s">
        <v>11</v>
      </c>
      <c r="F5">
        <v>81517</v>
      </c>
      <c r="G5" t="s">
        <v>17</v>
      </c>
      <c r="H5" t="s">
        <v>18</v>
      </c>
      <c r="I5" t="s">
        <v>118</v>
      </c>
      <c r="J5" t="s">
        <v>119</v>
      </c>
    </row>
    <row r="6" spans="1:10" x14ac:dyDescent="0.45">
      <c r="A6" t="s">
        <v>19</v>
      </c>
      <c r="B6" t="s">
        <v>20</v>
      </c>
      <c r="C6">
        <v>30</v>
      </c>
      <c r="D6" t="s">
        <v>16</v>
      </c>
      <c r="E6" t="s">
        <v>11</v>
      </c>
      <c r="F6">
        <v>73157</v>
      </c>
      <c r="G6" t="s">
        <v>21</v>
      </c>
      <c r="H6" t="s">
        <v>13</v>
      </c>
      <c r="I6" t="s">
        <v>120</v>
      </c>
      <c r="J6" t="s">
        <v>121</v>
      </c>
    </row>
    <row r="7" spans="1:10" x14ac:dyDescent="0.45">
      <c r="A7" t="s">
        <v>22</v>
      </c>
      <c r="B7" t="s">
        <v>23</v>
      </c>
      <c r="C7">
        <v>38</v>
      </c>
      <c r="D7" t="s">
        <v>10</v>
      </c>
      <c r="E7" t="s">
        <v>11</v>
      </c>
      <c r="F7">
        <v>55470</v>
      </c>
      <c r="G7" t="s">
        <v>24</v>
      </c>
      <c r="H7" t="s">
        <v>18</v>
      </c>
      <c r="I7" t="s">
        <v>122</v>
      </c>
      <c r="J7" t="s">
        <v>121</v>
      </c>
    </row>
    <row r="8" spans="1:10" x14ac:dyDescent="0.45">
      <c r="A8" t="s">
        <v>25</v>
      </c>
      <c r="B8" t="s">
        <v>15</v>
      </c>
      <c r="C8">
        <v>37</v>
      </c>
      <c r="D8" t="s">
        <v>10</v>
      </c>
      <c r="E8" t="s">
        <v>11</v>
      </c>
      <c r="F8">
        <v>66096</v>
      </c>
      <c r="G8" t="s">
        <v>26</v>
      </c>
      <c r="H8" t="s">
        <v>18</v>
      </c>
      <c r="I8" t="s">
        <v>122</v>
      </c>
      <c r="J8" t="s">
        <v>123</v>
      </c>
    </row>
    <row r="9" spans="1:10" x14ac:dyDescent="0.45">
      <c r="A9" t="s">
        <v>27</v>
      </c>
      <c r="B9" t="s">
        <v>28</v>
      </c>
      <c r="C9">
        <v>35</v>
      </c>
      <c r="D9" t="s">
        <v>10</v>
      </c>
      <c r="E9" t="s">
        <v>11</v>
      </c>
      <c r="F9">
        <v>80473</v>
      </c>
      <c r="G9" t="s">
        <v>29</v>
      </c>
      <c r="H9" t="s">
        <v>18</v>
      </c>
      <c r="I9" t="s">
        <v>124</v>
      </c>
      <c r="J9" t="s">
        <v>123</v>
      </c>
    </row>
    <row r="10" spans="1:10" x14ac:dyDescent="0.45">
      <c r="A10" t="s">
        <v>30</v>
      </c>
      <c r="B10" t="s">
        <v>31</v>
      </c>
      <c r="C10">
        <v>49</v>
      </c>
      <c r="D10" t="s">
        <v>10</v>
      </c>
      <c r="E10" t="s">
        <v>11</v>
      </c>
      <c r="F10">
        <v>68575</v>
      </c>
      <c r="G10" t="s">
        <v>32</v>
      </c>
      <c r="H10" t="s">
        <v>13</v>
      </c>
      <c r="I10" t="s">
        <v>116</v>
      </c>
      <c r="J10" t="s">
        <v>117</v>
      </c>
    </row>
    <row r="11" spans="1:10" x14ac:dyDescent="0.45">
      <c r="A11" t="s">
        <v>33</v>
      </c>
      <c r="B11" t="s">
        <v>34</v>
      </c>
      <c r="C11">
        <v>37</v>
      </c>
      <c r="D11" t="s">
        <v>16</v>
      </c>
      <c r="E11" t="s">
        <v>11</v>
      </c>
      <c r="F11">
        <v>63466</v>
      </c>
      <c r="G11" t="s">
        <v>35</v>
      </c>
      <c r="H11" t="s">
        <v>18</v>
      </c>
      <c r="I11" t="s">
        <v>122</v>
      </c>
      <c r="J11" t="s">
        <v>121</v>
      </c>
    </row>
    <row r="12" spans="1:10" x14ac:dyDescent="0.45">
      <c r="A12" t="s">
        <v>36</v>
      </c>
      <c r="B12" t="s">
        <v>37</v>
      </c>
      <c r="C12">
        <v>43</v>
      </c>
      <c r="D12" t="s">
        <v>10</v>
      </c>
      <c r="E12" t="s">
        <v>11</v>
      </c>
      <c r="F12">
        <v>83413</v>
      </c>
      <c r="G12" t="s">
        <v>38</v>
      </c>
      <c r="H12" t="s">
        <v>18</v>
      </c>
      <c r="I12" t="s">
        <v>118</v>
      </c>
      <c r="J12" t="s">
        <v>125</v>
      </c>
    </row>
    <row r="13" spans="1:10" x14ac:dyDescent="0.45">
      <c r="A13" t="s">
        <v>39</v>
      </c>
      <c r="B13" t="s">
        <v>40</v>
      </c>
      <c r="C13">
        <v>35</v>
      </c>
      <c r="D13" t="s">
        <v>10</v>
      </c>
      <c r="E13" t="s">
        <v>11</v>
      </c>
      <c r="F13">
        <v>83720</v>
      </c>
      <c r="G13" t="s">
        <v>41</v>
      </c>
      <c r="H13" t="s">
        <v>18</v>
      </c>
      <c r="I13" t="s">
        <v>124</v>
      </c>
      <c r="J13" t="s">
        <v>126</v>
      </c>
    </row>
    <row r="14" spans="1:10" x14ac:dyDescent="0.45">
      <c r="A14" t="s">
        <v>42</v>
      </c>
      <c r="B14" t="s">
        <v>40</v>
      </c>
      <c r="C14">
        <v>48</v>
      </c>
      <c r="D14" t="s">
        <v>16</v>
      </c>
      <c r="E14" t="s">
        <v>11</v>
      </c>
      <c r="F14">
        <v>80603</v>
      </c>
      <c r="G14" t="s">
        <v>43</v>
      </c>
      <c r="H14" t="s">
        <v>18</v>
      </c>
      <c r="I14" t="s">
        <v>116</v>
      </c>
      <c r="J14" t="s">
        <v>119</v>
      </c>
    </row>
    <row r="15" spans="1:10" x14ac:dyDescent="0.45">
      <c r="A15" t="s">
        <v>44</v>
      </c>
      <c r="B15" t="s">
        <v>45</v>
      </c>
      <c r="C15">
        <v>32</v>
      </c>
      <c r="D15" t="s">
        <v>16</v>
      </c>
      <c r="E15" t="s">
        <v>11</v>
      </c>
      <c r="F15">
        <v>81861</v>
      </c>
      <c r="G15" t="s">
        <v>46</v>
      </c>
      <c r="H15" t="s">
        <v>18</v>
      </c>
      <c r="I15" t="s">
        <v>124</v>
      </c>
      <c r="J15" t="s">
        <v>119</v>
      </c>
    </row>
    <row r="16" spans="1:10" x14ac:dyDescent="0.45">
      <c r="A16" t="s">
        <v>47</v>
      </c>
      <c r="B16" t="s">
        <v>40</v>
      </c>
      <c r="C16">
        <v>35</v>
      </c>
      <c r="D16" t="s">
        <v>10</v>
      </c>
      <c r="E16" t="s">
        <v>11</v>
      </c>
      <c r="F16">
        <v>67938</v>
      </c>
      <c r="G16" t="s">
        <v>48</v>
      </c>
      <c r="H16" t="s">
        <v>18</v>
      </c>
      <c r="I16" t="s">
        <v>124</v>
      </c>
      <c r="J16" t="s">
        <v>125</v>
      </c>
    </row>
    <row r="17" spans="1:10" x14ac:dyDescent="0.45">
      <c r="A17" t="s">
        <v>49</v>
      </c>
      <c r="B17" t="s">
        <v>50</v>
      </c>
      <c r="C17">
        <v>34</v>
      </c>
      <c r="D17" t="s">
        <v>10</v>
      </c>
      <c r="E17" t="s">
        <v>11</v>
      </c>
      <c r="F17">
        <v>82570</v>
      </c>
      <c r="G17" t="s">
        <v>51</v>
      </c>
      <c r="H17" t="s">
        <v>18</v>
      </c>
      <c r="I17" t="s">
        <v>124</v>
      </c>
      <c r="J17" t="s">
        <v>117</v>
      </c>
    </row>
    <row r="18" spans="1:10" x14ac:dyDescent="0.45">
      <c r="A18" t="s">
        <v>52</v>
      </c>
      <c r="B18" t="s">
        <v>53</v>
      </c>
      <c r="C18">
        <v>41</v>
      </c>
      <c r="D18" t="s">
        <v>10</v>
      </c>
      <c r="E18" t="s">
        <v>11</v>
      </c>
      <c r="F18">
        <v>61693</v>
      </c>
      <c r="G18" t="s">
        <v>54</v>
      </c>
      <c r="H18" t="s">
        <v>18</v>
      </c>
      <c r="I18" t="s">
        <v>118</v>
      </c>
      <c r="J18" t="s">
        <v>121</v>
      </c>
    </row>
    <row r="19" spans="1:10" x14ac:dyDescent="0.45">
      <c r="A19" t="s">
        <v>55</v>
      </c>
      <c r="B19" t="s">
        <v>40</v>
      </c>
      <c r="C19">
        <v>26</v>
      </c>
      <c r="D19" t="s">
        <v>16</v>
      </c>
      <c r="E19" t="s">
        <v>11</v>
      </c>
      <c r="F19">
        <v>70078</v>
      </c>
      <c r="G19" t="s">
        <v>56</v>
      </c>
      <c r="H19" t="s">
        <v>18</v>
      </c>
      <c r="I19" t="s">
        <v>120</v>
      </c>
      <c r="J19" t="s">
        <v>121</v>
      </c>
    </row>
    <row r="20" spans="1:10" x14ac:dyDescent="0.45">
      <c r="A20" t="s">
        <v>57</v>
      </c>
      <c r="B20" t="s">
        <v>58</v>
      </c>
      <c r="C20">
        <v>23</v>
      </c>
      <c r="D20" t="s">
        <v>10</v>
      </c>
      <c r="E20" t="s">
        <v>11</v>
      </c>
      <c r="F20">
        <v>77553</v>
      </c>
      <c r="G20" t="s">
        <v>59</v>
      </c>
      <c r="H20" t="s">
        <v>18</v>
      </c>
      <c r="I20" t="s">
        <v>127</v>
      </c>
      <c r="J20" t="s">
        <v>119</v>
      </c>
    </row>
    <row r="21" spans="1:10" x14ac:dyDescent="0.45">
      <c r="A21" t="s">
        <v>60</v>
      </c>
      <c r="B21" t="s">
        <v>61</v>
      </c>
      <c r="C21">
        <v>45</v>
      </c>
      <c r="D21" t="s">
        <v>16</v>
      </c>
      <c r="E21" t="s">
        <v>11</v>
      </c>
      <c r="F21">
        <v>78802</v>
      </c>
      <c r="G21" t="s">
        <v>62</v>
      </c>
      <c r="H21" t="s">
        <v>18</v>
      </c>
      <c r="I21" t="s">
        <v>118</v>
      </c>
      <c r="J21" t="s">
        <v>117</v>
      </c>
    </row>
    <row r="22" spans="1:10" x14ac:dyDescent="0.45">
      <c r="A22" t="s">
        <v>63</v>
      </c>
      <c r="B22" t="s">
        <v>64</v>
      </c>
      <c r="C22">
        <v>38</v>
      </c>
      <c r="D22" t="s">
        <v>10</v>
      </c>
      <c r="E22" t="s">
        <v>11</v>
      </c>
      <c r="F22">
        <v>83411</v>
      </c>
      <c r="G22" t="s">
        <v>65</v>
      </c>
      <c r="H22" t="s">
        <v>18</v>
      </c>
      <c r="I22" t="s">
        <v>122</v>
      </c>
      <c r="J22" t="s">
        <v>117</v>
      </c>
    </row>
    <row r="23" spans="1:10" x14ac:dyDescent="0.45">
      <c r="A23" t="s">
        <v>66</v>
      </c>
      <c r="B23" t="s">
        <v>37</v>
      </c>
      <c r="C23">
        <v>41</v>
      </c>
      <c r="D23" t="s">
        <v>10</v>
      </c>
      <c r="E23" t="s">
        <v>11</v>
      </c>
      <c r="F23">
        <v>56123</v>
      </c>
      <c r="G23" t="s">
        <v>67</v>
      </c>
      <c r="H23" t="s">
        <v>18</v>
      </c>
      <c r="I23" t="s">
        <v>118</v>
      </c>
      <c r="J23" t="s">
        <v>125</v>
      </c>
    </row>
    <row r="24" spans="1:10" x14ac:dyDescent="0.45">
      <c r="A24" t="s">
        <v>68</v>
      </c>
      <c r="B24" t="s">
        <v>61</v>
      </c>
      <c r="C24">
        <v>37</v>
      </c>
      <c r="D24" t="s">
        <v>10</v>
      </c>
      <c r="E24" t="s">
        <v>11</v>
      </c>
      <c r="F24">
        <v>76289</v>
      </c>
      <c r="G24" t="s">
        <v>67</v>
      </c>
      <c r="H24" t="s">
        <v>18</v>
      </c>
      <c r="I24" t="s">
        <v>122</v>
      </c>
      <c r="J24" t="s">
        <v>125</v>
      </c>
    </row>
    <row r="25" spans="1:10" x14ac:dyDescent="0.45">
      <c r="A25" t="s">
        <v>69</v>
      </c>
      <c r="B25" t="s">
        <v>70</v>
      </c>
      <c r="C25">
        <v>22</v>
      </c>
      <c r="D25" t="s">
        <v>16</v>
      </c>
      <c r="E25" t="s">
        <v>11</v>
      </c>
      <c r="F25">
        <v>64772</v>
      </c>
      <c r="G25" t="s">
        <v>71</v>
      </c>
      <c r="H25" t="s">
        <v>13</v>
      </c>
      <c r="I25" t="s">
        <v>127</v>
      </c>
      <c r="J25" t="s">
        <v>121</v>
      </c>
    </row>
    <row r="26" spans="1:10" x14ac:dyDescent="0.45">
      <c r="A26" t="s">
        <v>72</v>
      </c>
      <c r="B26" t="s">
        <v>73</v>
      </c>
      <c r="C26">
        <v>25</v>
      </c>
      <c r="D26" t="s">
        <v>10</v>
      </c>
      <c r="E26" t="s">
        <v>11</v>
      </c>
      <c r="F26">
        <v>67948</v>
      </c>
      <c r="G26" t="s">
        <v>74</v>
      </c>
      <c r="H26" t="s">
        <v>18</v>
      </c>
      <c r="I26" t="s">
        <v>127</v>
      </c>
      <c r="J26" t="s">
        <v>121</v>
      </c>
    </row>
    <row r="27" spans="1:10" x14ac:dyDescent="0.45">
      <c r="A27" t="s">
        <v>75</v>
      </c>
      <c r="B27" t="s">
        <v>76</v>
      </c>
      <c r="C27">
        <v>50</v>
      </c>
      <c r="D27" t="s">
        <v>16</v>
      </c>
      <c r="E27" t="s">
        <v>11</v>
      </c>
      <c r="F27">
        <v>65510</v>
      </c>
      <c r="G27" t="s">
        <v>77</v>
      </c>
      <c r="H27" t="s">
        <v>18</v>
      </c>
      <c r="I27" t="s">
        <v>116</v>
      </c>
      <c r="J27" t="s">
        <v>126</v>
      </c>
    </row>
    <row r="28" spans="1:10" x14ac:dyDescent="0.45">
      <c r="A28" t="s">
        <v>78</v>
      </c>
      <c r="B28" t="s">
        <v>28</v>
      </c>
      <c r="C28">
        <v>39</v>
      </c>
      <c r="D28" t="s">
        <v>10</v>
      </c>
      <c r="E28" t="s">
        <v>11</v>
      </c>
      <c r="F28">
        <v>57750</v>
      </c>
      <c r="G28" t="s">
        <v>79</v>
      </c>
      <c r="H28" t="s">
        <v>18</v>
      </c>
      <c r="I28" t="s">
        <v>122</v>
      </c>
      <c r="J28" t="s">
        <v>123</v>
      </c>
    </row>
    <row r="29" spans="1:10" x14ac:dyDescent="0.45">
      <c r="A29" t="s">
        <v>80</v>
      </c>
      <c r="B29" t="s">
        <v>45</v>
      </c>
      <c r="C29">
        <v>33</v>
      </c>
      <c r="D29" t="s">
        <v>10</v>
      </c>
      <c r="E29" t="s">
        <v>11</v>
      </c>
      <c r="F29">
        <v>57004</v>
      </c>
      <c r="G29" t="s">
        <v>81</v>
      </c>
      <c r="H29" t="s">
        <v>18</v>
      </c>
      <c r="I29" t="s">
        <v>124</v>
      </c>
      <c r="J29" t="s">
        <v>125</v>
      </c>
    </row>
    <row r="30" spans="1:10" x14ac:dyDescent="0.45">
      <c r="A30" t="s">
        <v>82</v>
      </c>
      <c r="B30" t="s">
        <v>20</v>
      </c>
      <c r="C30">
        <v>33</v>
      </c>
      <c r="D30" t="s">
        <v>10</v>
      </c>
      <c r="E30" t="s">
        <v>11</v>
      </c>
      <c r="F30">
        <v>58107</v>
      </c>
      <c r="G30" t="s">
        <v>83</v>
      </c>
      <c r="H30" t="s">
        <v>13</v>
      </c>
      <c r="I30" t="s">
        <v>124</v>
      </c>
      <c r="J30" t="s">
        <v>121</v>
      </c>
    </row>
    <row r="31" spans="1:10" x14ac:dyDescent="0.45">
      <c r="A31" t="s">
        <v>84</v>
      </c>
      <c r="B31" t="s">
        <v>20</v>
      </c>
      <c r="C31">
        <v>44</v>
      </c>
      <c r="D31" t="s">
        <v>16</v>
      </c>
      <c r="E31" t="s">
        <v>11</v>
      </c>
      <c r="F31">
        <v>83794</v>
      </c>
      <c r="G31" t="s">
        <v>85</v>
      </c>
      <c r="H31" t="s">
        <v>18</v>
      </c>
      <c r="I31" t="s">
        <v>118</v>
      </c>
      <c r="J31" t="s">
        <v>123</v>
      </c>
    </row>
    <row r="32" spans="1:10" x14ac:dyDescent="0.45">
      <c r="A32" t="s">
        <v>86</v>
      </c>
      <c r="B32" t="s">
        <v>31</v>
      </c>
      <c r="C32">
        <v>35</v>
      </c>
      <c r="D32" t="s">
        <v>16</v>
      </c>
      <c r="E32" t="s">
        <v>11</v>
      </c>
      <c r="F32">
        <v>65602</v>
      </c>
      <c r="G32" t="s">
        <v>87</v>
      </c>
      <c r="H32" t="s">
        <v>18</v>
      </c>
      <c r="I32" t="s">
        <v>124</v>
      </c>
      <c r="J32" t="s">
        <v>126</v>
      </c>
    </row>
    <row r="33" spans="1:10" x14ac:dyDescent="0.45">
      <c r="A33" t="s">
        <v>88</v>
      </c>
      <c r="B33" t="s">
        <v>89</v>
      </c>
      <c r="C33">
        <v>39</v>
      </c>
      <c r="D33" t="s">
        <v>16</v>
      </c>
      <c r="E33" t="s">
        <v>11</v>
      </c>
      <c r="F33">
        <v>57093</v>
      </c>
      <c r="G33" t="s">
        <v>90</v>
      </c>
      <c r="H33" t="s">
        <v>18</v>
      </c>
      <c r="I33" t="s">
        <v>122</v>
      </c>
      <c r="J33" t="s">
        <v>121</v>
      </c>
    </row>
    <row r="34" spans="1:10" x14ac:dyDescent="0.45">
      <c r="A34" t="s">
        <v>91</v>
      </c>
      <c r="B34" t="s">
        <v>73</v>
      </c>
      <c r="C34">
        <v>40</v>
      </c>
      <c r="D34" t="s">
        <v>16</v>
      </c>
      <c r="E34" t="s">
        <v>11</v>
      </c>
      <c r="F34">
        <v>76031</v>
      </c>
      <c r="G34" t="s">
        <v>92</v>
      </c>
      <c r="H34" t="s">
        <v>18</v>
      </c>
      <c r="I34" t="s">
        <v>122</v>
      </c>
      <c r="J34" t="s">
        <v>117</v>
      </c>
    </row>
    <row r="35" spans="1:10" x14ac:dyDescent="0.45">
      <c r="A35" t="s">
        <v>93</v>
      </c>
      <c r="B35" t="s">
        <v>70</v>
      </c>
      <c r="C35">
        <v>31</v>
      </c>
      <c r="D35" t="s">
        <v>16</v>
      </c>
      <c r="E35" t="s">
        <v>11</v>
      </c>
      <c r="F35">
        <v>63695</v>
      </c>
      <c r="G35" t="s">
        <v>94</v>
      </c>
      <c r="H35" t="s">
        <v>18</v>
      </c>
      <c r="I35" t="s">
        <v>124</v>
      </c>
      <c r="J35" t="s">
        <v>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A144" zoomScale="47" workbookViewId="0">
      <selection activeCell="L15" sqref="L15"/>
    </sheetView>
  </sheetViews>
  <sheetFormatPr defaultRowHeight="14.25" x14ac:dyDescent="0.45"/>
  <cols>
    <col min="1" max="8" width="22" customWidth="1"/>
    <col min="9" max="9" width="10.3984375" bestFit="1" customWidth="1"/>
    <col min="11" max="11" width="36.597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128</v>
      </c>
    </row>
    <row r="2" spans="1:11" x14ac:dyDescent="0.45">
      <c r="A2" t="s">
        <v>84</v>
      </c>
      <c r="B2" t="s">
        <v>20</v>
      </c>
      <c r="C2">
        <v>44</v>
      </c>
      <c r="D2" t="s">
        <v>16</v>
      </c>
      <c r="E2" t="s">
        <v>11</v>
      </c>
      <c r="F2">
        <v>83794</v>
      </c>
      <c r="G2" t="s">
        <v>85</v>
      </c>
      <c r="H2" t="s">
        <v>18</v>
      </c>
      <c r="I2" t="str">
        <f t="shared" ref="I2:I33" si="0">IF(C2&lt;=25,"21-25",IF(C2&lt;=30,"26-30",IF(C2&lt;=35,"31-35",IF(C2&lt;=40,"36-40",IF(C2&lt;=45,"41-45","46-50")))))</f>
        <v>41-45</v>
      </c>
      <c r="J2" t="str">
        <f t="shared" ref="J2:J33" si="1">MID(G2,4,2)</f>
        <v>03</v>
      </c>
      <c r="K2" s="9" t="str">
        <f t="shared" ref="K2:K33" si="2">IF(F2&lt;30000,"Budget",IF(F2&lt;=50000,"Standard","Premium"))</f>
        <v>Premium</v>
      </c>
    </row>
    <row r="3" spans="1:11" x14ac:dyDescent="0.45">
      <c r="A3" t="s">
        <v>39</v>
      </c>
      <c r="B3" t="s">
        <v>40</v>
      </c>
      <c r="C3">
        <v>35</v>
      </c>
      <c r="D3" t="s">
        <v>10</v>
      </c>
      <c r="E3" t="s">
        <v>11</v>
      </c>
      <c r="F3">
        <v>83720</v>
      </c>
      <c r="G3" t="s">
        <v>41</v>
      </c>
      <c r="H3" t="s">
        <v>18</v>
      </c>
      <c r="I3" t="str">
        <f t="shared" si="0"/>
        <v>31-35</v>
      </c>
      <c r="J3" t="str">
        <f t="shared" si="1"/>
        <v>05</v>
      </c>
      <c r="K3" s="9" t="str">
        <f t="shared" si="2"/>
        <v>Premium</v>
      </c>
    </row>
    <row r="4" spans="1:11" x14ac:dyDescent="0.45">
      <c r="A4" t="s">
        <v>36</v>
      </c>
      <c r="B4" t="s">
        <v>37</v>
      </c>
      <c r="C4">
        <v>43</v>
      </c>
      <c r="D4" t="s">
        <v>10</v>
      </c>
      <c r="E4" t="s">
        <v>11</v>
      </c>
      <c r="F4">
        <v>83413</v>
      </c>
      <c r="G4" t="s">
        <v>38</v>
      </c>
      <c r="H4" t="s">
        <v>18</v>
      </c>
      <c r="I4" t="str">
        <f t="shared" si="0"/>
        <v>41-45</v>
      </c>
      <c r="J4" t="str">
        <f t="shared" si="1"/>
        <v>06</v>
      </c>
      <c r="K4" s="9" t="str">
        <f t="shared" si="2"/>
        <v>Premium</v>
      </c>
    </row>
    <row r="5" spans="1:11" x14ac:dyDescent="0.45">
      <c r="A5" t="s">
        <v>63</v>
      </c>
      <c r="B5" t="s">
        <v>64</v>
      </c>
      <c r="C5">
        <v>38</v>
      </c>
      <c r="D5" t="s">
        <v>10</v>
      </c>
      <c r="E5" t="s">
        <v>11</v>
      </c>
      <c r="F5">
        <v>83411</v>
      </c>
      <c r="G5" t="s">
        <v>65</v>
      </c>
      <c r="H5" t="s">
        <v>18</v>
      </c>
      <c r="I5" t="str">
        <f t="shared" si="0"/>
        <v>36-40</v>
      </c>
      <c r="J5" t="str">
        <f t="shared" si="1"/>
        <v>02</v>
      </c>
      <c r="K5" s="9" t="str">
        <f t="shared" si="2"/>
        <v>Premium</v>
      </c>
    </row>
    <row r="6" spans="1:11" x14ac:dyDescent="0.45">
      <c r="A6" t="s">
        <v>49</v>
      </c>
      <c r="B6" t="s">
        <v>50</v>
      </c>
      <c r="C6">
        <v>34</v>
      </c>
      <c r="D6" t="s">
        <v>10</v>
      </c>
      <c r="E6" t="s">
        <v>11</v>
      </c>
      <c r="F6">
        <v>82570</v>
      </c>
      <c r="G6" t="s">
        <v>51</v>
      </c>
      <c r="H6" t="s">
        <v>18</v>
      </c>
      <c r="I6" t="str">
        <f t="shared" si="0"/>
        <v>31-35</v>
      </c>
      <c r="J6" t="str">
        <f t="shared" si="1"/>
        <v>02</v>
      </c>
      <c r="K6" s="9" t="str">
        <f t="shared" si="2"/>
        <v>Premium</v>
      </c>
    </row>
    <row r="7" spans="1:11" x14ac:dyDescent="0.45">
      <c r="A7" t="s">
        <v>44</v>
      </c>
      <c r="B7" t="s">
        <v>45</v>
      </c>
      <c r="C7">
        <v>32</v>
      </c>
      <c r="D7" t="s">
        <v>16</v>
      </c>
      <c r="E7" t="s">
        <v>11</v>
      </c>
      <c r="F7">
        <v>81861</v>
      </c>
      <c r="G7" t="s">
        <v>46</v>
      </c>
      <c r="H7" t="s">
        <v>18</v>
      </c>
      <c r="I7" t="str">
        <f t="shared" si="0"/>
        <v>31-35</v>
      </c>
      <c r="J7" t="str">
        <f t="shared" si="1"/>
        <v>01</v>
      </c>
      <c r="K7" s="9" t="str">
        <f t="shared" si="2"/>
        <v>Premium</v>
      </c>
    </row>
    <row r="8" spans="1:11" x14ac:dyDescent="0.45">
      <c r="A8" t="s">
        <v>14</v>
      </c>
      <c r="B8" t="s">
        <v>15</v>
      </c>
      <c r="C8">
        <v>42</v>
      </c>
      <c r="D8" t="s">
        <v>16</v>
      </c>
      <c r="E8" t="s">
        <v>11</v>
      </c>
      <c r="F8">
        <v>81517</v>
      </c>
      <c r="G8" t="s">
        <v>17</v>
      </c>
      <c r="H8" t="s">
        <v>18</v>
      </c>
      <c r="I8" t="str">
        <f t="shared" si="0"/>
        <v>41-45</v>
      </c>
      <c r="J8" t="str">
        <f t="shared" si="1"/>
        <v>01</v>
      </c>
      <c r="K8" s="9" t="str">
        <f t="shared" si="2"/>
        <v>Premium</v>
      </c>
    </row>
    <row r="9" spans="1:11" x14ac:dyDescent="0.45">
      <c r="A9" t="s">
        <v>42</v>
      </c>
      <c r="B9" t="s">
        <v>40</v>
      </c>
      <c r="C9">
        <v>48</v>
      </c>
      <c r="D9" t="s">
        <v>16</v>
      </c>
      <c r="E9" t="s">
        <v>11</v>
      </c>
      <c r="F9">
        <v>80603</v>
      </c>
      <c r="G9" t="s">
        <v>43</v>
      </c>
      <c r="H9" t="s">
        <v>18</v>
      </c>
      <c r="I9" t="str">
        <f t="shared" si="0"/>
        <v>46-50</v>
      </c>
      <c r="J9" t="str">
        <f t="shared" si="1"/>
        <v>01</v>
      </c>
      <c r="K9" s="9" t="str">
        <f t="shared" si="2"/>
        <v>Premium</v>
      </c>
    </row>
    <row r="10" spans="1:11" x14ac:dyDescent="0.45">
      <c r="A10" t="s">
        <v>27</v>
      </c>
      <c r="B10" t="s">
        <v>28</v>
      </c>
      <c r="C10">
        <v>35</v>
      </c>
      <c r="D10" t="s">
        <v>10</v>
      </c>
      <c r="E10" t="s">
        <v>11</v>
      </c>
      <c r="F10">
        <v>80473</v>
      </c>
      <c r="G10" t="s">
        <v>29</v>
      </c>
      <c r="H10" t="s">
        <v>18</v>
      </c>
      <c r="I10" t="str">
        <f t="shared" si="0"/>
        <v>31-35</v>
      </c>
      <c r="J10" t="str">
        <f t="shared" si="1"/>
        <v>03</v>
      </c>
      <c r="K10" s="9" t="str">
        <f t="shared" si="2"/>
        <v>Premium</v>
      </c>
    </row>
    <row r="11" spans="1:11" x14ac:dyDescent="0.45">
      <c r="A11" t="s">
        <v>60</v>
      </c>
      <c r="B11" t="s">
        <v>61</v>
      </c>
      <c r="C11">
        <v>45</v>
      </c>
      <c r="D11" t="s">
        <v>16</v>
      </c>
      <c r="E11" t="s">
        <v>11</v>
      </c>
      <c r="F11">
        <v>78802</v>
      </c>
      <c r="G11" t="s">
        <v>62</v>
      </c>
      <c r="H11" t="s">
        <v>18</v>
      </c>
      <c r="I11" t="str">
        <f t="shared" si="0"/>
        <v>41-45</v>
      </c>
      <c r="J11" t="str">
        <f t="shared" si="1"/>
        <v>02</v>
      </c>
      <c r="K11" s="9" t="str">
        <f t="shared" si="2"/>
        <v>Premium</v>
      </c>
    </row>
    <row r="12" spans="1:11" x14ac:dyDescent="0.45">
      <c r="A12" t="s">
        <v>57</v>
      </c>
      <c r="B12" t="s">
        <v>58</v>
      </c>
      <c r="C12">
        <v>23</v>
      </c>
      <c r="D12" t="s">
        <v>10</v>
      </c>
      <c r="E12" t="s">
        <v>11</v>
      </c>
      <c r="F12">
        <v>77553</v>
      </c>
      <c r="G12" t="s">
        <v>59</v>
      </c>
      <c r="H12" t="s">
        <v>18</v>
      </c>
      <c r="I12" t="str">
        <f t="shared" si="0"/>
        <v>21-25</v>
      </c>
      <c r="J12" t="str">
        <f t="shared" si="1"/>
        <v>01</v>
      </c>
      <c r="K12" s="9" t="str">
        <f t="shared" si="2"/>
        <v>Premium</v>
      </c>
    </row>
    <row r="13" spans="1:11" x14ac:dyDescent="0.45">
      <c r="A13" t="s">
        <v>68</v>
      </c>
      <c r="B13" t="s">
        <v>61</v>
      </c>
      <c r="C13">
        <v>37</v>
      </c>
      <c r="D13" t="s">
        <v>10</v>
      </c>
      <c r="E13" t="s">
        <v>11</v>
      </c>
      <c r="F13">
        <v>76289</v>
      </c>
      <c r="G13" t="s">
        <v>67</v>
      </c>
      <c r="H13" t="s">
        <v>18</v>
      </c>
      <c r="I13" t="str">
        <f t="shared" si="0"/>
        <v>36-40</v>
      </c>
      <c r="J13" t="str">
        <f t="shared" si="1"/>
        <v>06</v>
      </c>
      <c r="K13" s="9" t="str">
        <f t="shared" si="2"/>
        <v>Premium</v>
      </c>
    </row>
    <row r="14" spans="1:11" x14ac:dyDescent="0.45">
      <c r="A14" t="s">
        <v>91</v>
      </c>
      <c r="B14" t="s">
        <v>73</v>
      </c>
      <c r="C14">
        <v>40</v>
      </c>
      <c r="D14" t="s">
        <v>16</v>
      </c>
      <c r="E14" t="s">
        <v>11</v>
      </c>
      <c r="F14">
        <v>76031</v>
      </c>
      <c r="G14" t="s">
        <v>92</v>
      </c>
      <c r="H14" t="s">
        <v>18</v>
      </c>
      <c r="I14" t="str">
        <f t="shared" si="0"/>
        <v>36-40</v>
      </c>
      <c r="J14" t="str">
        <f t="shared" si="1"/>
        <v>02</v>
      </c>
      <c r="K14" s="9" t="str">
        <f t="shared" si="2"/>
        <v>Premium</v>
      </c>
    </row>
    <row r="15" spans="1:11" x14ac:dyDescent="0.45">
      <c r="A15" t="s">
        <v>129</v>
      </c>
      <c r="B15" t="s">
        <v>9</v>
      </c>
      <c r="C15">
        <v>47</v>
      </c>
      <c r="D15" t="s">
        <v>10</v>
      </c>
      <c r="E15" t="s">
        <v>96</v>
      </c>
      <c r="F15">
        <v>74661</v>
      </c>
      <c r="G15" t="s">
        <v>130</v>
      </c>
      <c r="H15" t="s">
        <v>13</v>
      </c>
      <c r="I15" t="str">
        <f t="shared" si="0"/>
        <v>46-50</v>
      </c>
      <c r="J15" t="str">
        <f t="shared" si="1"/>
        <v>04</v>
      </c>
      <c r="K15" s="9" t="str">
        <f t="shared" si="2"/>
        <v>Premium</v>
      </c>
    </row>
    <row r="16" spans="1:11" x14ac:dyDescent="0.45">
      <c r="A16" t="s">
        <v>131</v>
      </c>
      <c r="B16" t="s">
        <v>28</v>
      </c>
      <c r="C16">
        <v>23</v>
      </c>
      <c r="D16" t="s">
        <v>10</v>
      </c>
      <c r="E16" t="s">
        <v>96</v>
      </c>
      <c r="F16">
        <v>74134</v>
      </c>
      <c r="G16" t="s">
        <v>132</v>
      </c>
      <c r="H16" t="s">
        <v>18</v>
      </c>
      <c r="I16" t="str">
        <f t="shared" si="0"/>
        <v>21-25</v>
      </c>
      <c r="J16" t="str">
        <f t="shared" si="1"/>
        <v>02</v>
      </c>
      <c r="K16" s="9" t="str">
        <f t="shared" si="2"/>
        <v>Premium</v>
      </c>
    </row>
    <row r="17" spans="1:11" x14ac:dyDescent="0.45">
      <c r="A17" t="s">
        <v>19</v>
      </c>
      <c r="B17" t="s">
        <v>20</v>
      </c>
      <c r="C17">
        <v>30</v>
      </c>
      <c r="D17" t="s">
        <v>16</v>
      </c>
      <c r="E17" t="s">
        <v>11</v>
      </c>
      <c r="F17">
        <v>73157</v>
      </c>
      <c r="G17" t="s">
        <v>21</v>
      </c>
      <c r="H17" t="s">
        <v>13</v>
      </c>
      <c r="I17" t="str">
        <f t="shared" si="0"/>
        <v>26-30</v>
      </c>
      <c r="J17" t="str">
        <f t="shared" si="1"/>
        <v>04</v>
      </c>
      <c r="K17" s="9" t="str">
        <f t="shared" si="2"/>
        <v>Premium</v>
      </c>
    </row>
    <row r="18" spans="1:11" x14ac:dyDescent="0.45">
      <c r="A18" t="s">
        <v>133</v>
      </c>
      <c r="B18" t="s">
        <v>20</v>
      </c>
      <c r="C18">
        <v>27</v>
      </c>
      <c r="D18" t="s">
        <v>16</v>
      </c>
      <c r="E18" t="s">
        <v>96</v>
      </c>
      <c r="F18">
        <v>72618</v>
      </c>
      <c r="G18" t="s">
        <v>134</v>
      </c>
      <c r="H18" t="s">
        <v>18</v>
      </c>
      <c r="I18" t="str">
        <f t="shared" si="0"/>
        <v>26-30</v>
      </c>
      <c r="J18" t="str">
        <f t="shared" si="1"/>
        <v>01</v>
      </c>
      <c r="K18" s="9" t="str">
        <f t="shared" si="2"/>
        <v>Premium</v>
      </c>
    </row>
    <row r="19" spans="1:11" x14ac:dyDescent="0.45">
      <c r="A19" t="s">
        <v>135</v>
      </c>
      <c r="B19" t="s">
        <v>136</v>
      </c>
      <c r="C19">
        <v>34</v>
      </c>
      <c r="D19" t="s">
        <v>16</v>
      </c>
      <c r="E19" t="s">
        <v>96</v>
      </c>
      <c r="F19">
        <v>71892</v>
      </c>
      <c r="G19" t="s">
        <v>137</v>
      </c>
      <c r="H19" t="s">
        <v>18</v>
      </c>
      <c r="I19" t="str">
        <f t="shared" si="0"/>
        <v>31-35</v>
      </c>
      <c r="J19" t="str">
        <f t="shared" si="1"/>
        <v>05</v>
      </c>
      <c r="K19" s="9" t="str">
        <f t="shared" si="2"/>
        <v>Premium</v>
      </c>
    </row>
    <row r="20" spans="1:11" x14ac:dyDescent="0.45">
      <c r="A20" t="s">
        <v>138</v>
      </c>
      <c r="B20" t="s">
        <v>15</v>
      </c>
      <c r="C20">
        <v>25</v>
      </c>
      <c r="D20" t="s">
        <v>16</v>
      </c>
      <c r="E20" t="s">
        <v>96</v>
      </c>
      <c r="F20">
        <v>71584</v>
      </c>
      <c r="G20" t="s">
        <v>139</v>
      </c>
      <c r="H20" t="s">
        <v>18</v>
      </c>
      <c r="I20" t="str">
        <f t="shared" si="0"/>
        <v>21-25</v>
      </c>
      <c r="J20" t="str">
        <f t="shared" si="1"/>
        <v>01</v>
      </c>
      <c r="K20" s="9" t="str">
        <f t="shared" si="2"/>
        <v>Premium</v>
      </c>
    </row>
    <row r="21" spans="1:11" x14ac:dyDescent="0.45">
      <c r="A21" t="s">
        <v>140</v>
      </c>
      <c r="B21" t="s">
        <v>136</v>
      </c>
      <c r="C21">
        <v>24</v>
      </c>
      <c r="D21" t="s">
        <v>16</v>
      </c>
      <c r="E21" t="s">
        <v>96</v>
      </c>
      <c r="F21">
        <v>71391</v>
      </c>
      <c r="G21" t="s">
        <v>141</v>
      </c>
      <c r="H21" t="s">
        <v>13</v>
      </c>
      <c r="I21" t="str">
        <f t="shared" si="0"/>
        <v>21-25</v>
      </c>
      <c r="J21" t="str">
        <f t="shared" si="1"/>
        <v>06</v>
      </c>
      <c r="K21" s="9" t="str">
        <f t="shared" si="2"/>
        <v>Premium</v>
      </c>
    </row>
    <row r="22" spans="1:11" x14ac:dyDescent="0.45">
      <c r="A22" t="s">
        <v>142</v>
      </c>
      <c r="B22" t="s">
        <v>89</v>
      </c>
      <c r="C22">
        <v>39</v>
      </c>
      <c r="D22" t="s">
        <v>16</v>
      </c>
      <c r="E22" t="s">
        <v>96</v>
      </c>
      <c r="F22">
        <v>71265</v>
      </c>
      <c r="G22" t="s">
        <v>12</v>
      </c>
      <c r="H22" t="s">
        <v>13</v>
      </c>
      <c r="I22" t="str">
        <f t="shared" si="0"/>
        <v>36-40</v>
      </c>
      <c r="J22" t="str">
        <f t="shared" si="1"/>
        <v>02</v>
      </c>
      <c r="K22" s="9" t="str">
        <f t="shared" si="2"/>
        <v>Premium</v>
      </c>
    </row>
    <row r="23" spans="1:11" x14ac:dyDescent="0.45">
      <c r="A23" t="s">
        <v>143</v>
      </c>
      <c r="B23" t="s">
        <v>53</v>
      </c>
      <c r="C23">
        <v>25</v>
      </c>
      <c r="D23" t="s">
        <v>10</v>
      </c>
      <c r="E23" t="s">
        <v>96</v>
      </c>
      <c r="F23">
        <v>70837</v>
      </c>
      <c r="G23" t="s">
        <v>144</v>
      </c>
      <c r="H23" t="s">
        <v>13</v>
      </c>
      <c r="I23" t="str">
        <f t="shared" si="0"/>
        <v>21-25</v>
      </c>
      <c r="J23" t="str">
        <f t="shared" si="1"/>
        <v>04</v>
      </c>
      <c r="K23" s="9" t="str">
        <f t="shared" si="2"/>
        <v>Premium</v>
      </c>
    </row>
    <row r="24" spans="1:11" x14ac:dyDescent="0.45">
      <c r="A24" t="s">
        <v>145</v>
      </c>
      <c r="B24" t="s">
        <v>20</v>
      </c>
      <c r="C24">
        <v>35</v>
      </c>
      <c r="D24" t="s">
        <v>16</v>
      </c>
      <c r="E24" t="s">
        <v>96</v>
      </c>
      <c r="F24">
        <v>70814</v>
      </c>
      <c r="G24" t="s">
        <v>146</v>
      </c>
      <c r="H24" t="s">
        <v>18</v>
      </c>
      <c r="I24" t="str">
        <f t="shared" si="0"/>
        <v>31-35</v>
      </c>
      <c r="J24" t="str">
        <f t="shared" si="1"/>
        <v>02</v>
      </c>
      <c r="K24" s="9" t="str">
        <f t="shared" si="2"/>
        <v>Premium</v>
      </c>
    </row>
    <row r="25" spans="1:11" x14ac:dyDescent="0.45">
      <c r="A25" t="s">
        <v>55</v>
      </c>
      <c r="B25" t="s">
        <v>40</v>
      </c>
      <c r="C25">
        <v>26</v>
      </c>
      <c r="D25" t="s">
        <v>16</v>
      </c>
      <c r="E25" t="s">
        <v>11</v>
      </c>
      <c r="F25">
        <v>70078</v>
      </c>
      <c r="G25" t="s">
        <v>56</v>
      </c>
      <c r="H25" t="s">
        <v>18</v>
      </c>
      <c r="I25" t="str">
        <f t="shared" si="0"/>
        <v>26-30</v>
      </c>
      <c r="J25" t="str">
        <f t="shared" si="1"/>
        <v>04</v>
      </c>
      <c r="K25" s="9" t="str">
        <f t="shared" si="2"/>
        <v>Premium</v>
      </c>
    </row>
    <row r="26" spans="1:11" x14ac:dyDescent="0.45">
      <c r="A26" t="s">
        <v>147</v>
      </c>
      <c r="B26" t="s">
        <v>31</v>
      </c>
      <c r="C26">
        <v>23</v>
      </c>
      <c r="D26" t="s">
        <v>16</v>
      </c>
      <c r="E26" t="s">
        <v>96</v>
      </c>
      <c r="F26">
        <v>69832</v>
      </c>
      <c r="G26" t="s">
        <v>148</v>
      </c>
      <c r="H26" t="s">
        <v>13</v>
      </c>
      <c r="I26" t="str">
        <f t="shared" si="0"/>
        <v>21-25</v>
      </c>
      <c r="J26" t="str">
        <f t="shared" si="1"/>
        <v>01</v>
      </c>
      <c r="K26" s="9" t="str">
        <f t="shared" si="2"/>
        <v>Premium</v>
      </c>
    </row>
    <row r="27" spans="1:11" x14ac:dyDescent="0.45">
      <c r="A27" t="s">
        <v>30</v>
      </c>
      <c r="B27" t="s">
        <v>31</v>
      </c>
      <c r="C27">
        <v>49</v>
      </c>
      <c r="D27" t="s">
        <v>10</v>
      </c>
      <c r="E27" t="s">
        <v>11</v>
      </c>
      <c r="F27">
        <v>68575</v>
      </c>
      <c r="G27" t="s">
        <v>32</v>
      </c>
      <c r="H27" t="s">
        <v>13</v>
      </c>
      <c r="I27" t="str">
        <f t="shared" si="0"/>
        <v>46-50</v>
      </c>
      <c r="J27" t="str">
        <f t="shared" si="1"/>
        <v>02</v>
      </c>
      <c r="K27" s="9" t="str">
        <f t="shared" si="2"/>
        <v>Premium</v>
      </c>
    </row>
    <row r="28" spans="1:11" x14ac:dyDescent="0.45">
      <c r="A28" t="s">
        <v>149</v>
      </c>
      <c r="B28" t="s">
        <v>28</v>
      </c>
      <c r="C28">
        <v>36</v>
      </c>
      <c r="D28" t="s">
        <v>16</v>
      </c>
      <c r="E28" t="s">
        <v>96</v>
      </c>
      <c r="F28">
        <v>68263</v>
      </c>
      <c r="G28" t="s">
        <v>150</v>
      </c>
      <c r="H28" t="s">
        <v>13</v>
      </c>
      <c r="I28" t="str">
        <f t="shared" si="0"/>
        <v>36-40</v>
      </c>
      <c r="J28" t="str">
        <f t="shared" si="1"/>
        <v>02</v>
      </c>
      <c r="K28" s="9" t="str">
        <f t="shared" si="2"/>
        <v>Premium</v>
      </c>
    </row>
    <row r="29" spans="1:11" x14ac:dyDescent="0.45">
      <c r="A29" t="s">
        <v>72</v>
      </c>
      <c r="B29" t="s">
        <v>73</v>
      </c>
      <c r="C29">
        <v>25</v>
      </c>
      <c r="D29" t="s">
        <v>10</v>
      </c>
      <c r="E29" t="s">
        <v>11</v>
      </c>
      <c r="F29">
        <v>67948</v>
      </c>
      <c r="G29" t="s">
        <v>74</v>
      </c>
      <c r="H29" t="s">
        <v>18</v>
      </c>
      <c r="I29" t="str">
        <f t="shared" si="0"/>
        <v>21-25</v>
      </c>
      <c r="J29" t="str">
        <f t="shared" si="1"/>
        <v>04</v>
      </c>
      <c r="K29" s="9" t="str">
        <f t="shared" si="2"/>
        <v>Premium</v>
      </c>
    </row>
    <row r="30" spans="1:11" x14ac:dyDescent="0.45">
      <c r="A30" t="s">
        <v>47</v>
      </c>
      <c r="B30" t="s">
        <v>40</v>
      </c>
      <c r="C30">
        <v>35</v>
      </c>
      <c r="D30" t="s">
        <v>10</v>
      </c>
      <c r="E30" t="s">
        <v>11</v>
      </c>
      <c r="F30">
        <v>67938</v>
      </c>
      <c r="G30" t="s">
        <v>48</v>
      </c>
      <c r="H30" t="s">
        <v>18</v>
      </c>
      <c r="I30" t="str">
        <f t="shared" si="0"/>
        <v>31-35</v>
      </c>
      <c r="J30" t="str">
        <f t="shared" si="1"/>
        <v>06</v>
      </c>
      <c r="K30" s="9" t="str">
        <f t="shared" si="2"/>
        <v>Premium</v>
      </c>
    </row>
    <row r="31" spans="1:11" x14ac:dyDescent="0.45">
      <c r="A31" t="s">
        <v>151</v>
      </c>
      <c r="B31" t="s">
        <v>53</v>
      </c>
      <c r="C31">
        <v>24</v>
      </c>
      <c r="D31" t="s">
        <v>16</v>
      </c>
      <c r="E31" t="s">
        <v>96</v>
      </c>
      <c r="F31">
        <v>66673</v>
      </c>
      <c r="G31" t="s">
        <v>152</v>
      </c>
      <c r="H31" t="s">
        <v>18</v>
      </c>
      <c r="I31" t="str">
        <f t="shared" si="0"/>
        <v>21-25</v>
      </c>
      <c r="J31" t="str">
        <f t="shared" si="1"/>
        <v>05</v>
      </c>
      <c r="K31" s="9" t="str">
        <f t="shared" si="2"/>
        <v>Premium</v>
      </c>
    </row>
    <row r="32" spans="1:11" x14ac:dyDescent="0.45">
      <c r="A32" t="s">
        <v>25</v>
      </c>
      <c r="B32" t="s">
        <v>15</v>
      </c>
      <c r="C32">
        <v>37</v>
      </c>
      <c r="D32" t="s">
        <v>10</v>
      </c>
      <c r="E32" t="s">
        <v>11</v>
      </c>
      <c r="F32">
        <v>66096</v>
      </c>
      <c r="G32" t="s">
        <v>26</v>
      </c>
      <c r="H32" t="s">
        <v>18</v>
      </c>
      <c r="I32" t="str">
        <f t="shared" si="0"/>
        <v>36-40</v>
      </c>
      <c r="J32" t="str">
        <f t="shared" si="1"/>
        <v>03</v>
      </c>
      <c r="K32" s="9" t="str">
        <f t="shared" si="2"/>
        <v>Premium</v>
      </c>
    </row>
    <row r="33" spans="1:11" x14ac:dyDescent="0.45">
      <c r="A33" t="s">
        <v>86</v>
      </c>
      <c r="B33" t="s">
        <v>31</v>
      </c>
      <c r="C33">
        <v>35</v>
      </c>
      <c r="D33" t="s">
        <v>16</v>
      </c>
      <c r="E33" t="s">
        <v>11</v>
      </c>
      <c r="F33">
        <v>65602</v>
      </c>
      <c r="G33" t="s">
        <v>87</v>
      </c>
      <c r="H33" t="s">
        <v>18</v>
      </c>
      <c r="I33" t="str">
        <f t="shared" si="0"/>
        <v>31-35</v>
      </c>
      <c r="J33" t="str">
        <f t="shared" si="1"/>
        <v>05</v>
      </c>
      <c r="K33" s="9" t="str">
        <f t="shared" si="2"/>
        <v>Premium</v>
      </c>
    </row>
    <row r="34" spans="1:11" x14ac:dyDescent="0.45">
      <c r="A34" t="s">
        <v>75</v>
      </c>
      <c r="B34" t="s">
        <v>76</v>
      </c>
      <c r="C34">
        <v>50</v>
      </c>
      <c r="D34" t="s">
        <v>16</v>
      </c>
      <c r="E34" t="s">
        <v>11</v>
      </c>
      <c r="F34">
        <v>65510</v>
      </c>
      <c r="G34" t="s">
        <v>77</v>
      </c>
      <c r="H34" t="s">
        <v>18</v>
      </c>
      <c r="I34" t="str">
        <f t="shared" ref="I34:I65" si="3">IF(C34&lt;=25,"21-25",IF(C34&lt;=30,"26-30",IF(C34&lt;=35,"31-35",IF(C34&lt;=40,"36-40",IF(C34&lt;=45,"41-45","46-50")))))</f>
        <v>46-50</v>
      </c>
      <c r="J34" t="str">
        <f t="shared" ref="J34:J65" si="4">MID(G34,4,2)</f>
        <v>05</v>
      </c>
      <c r="K34" s="9" t="str">
        <f t="shared" ref="K34:K65" si="5">IF(F34&lt;30000,"Budget",IF(F34&lt;=50000,"Standard","Premium"))</f>
        <v>Premium</v>
      </c>
    </row>
    <row r="35" spans="1:11" x14ac:dyDescent="0.45">
      <c r="A35" t="s">
        <v>153</v>
      </c>
      <c r="B35" t="s">
        <v>64</v>
      </c>
      <c r="C35">
        <v>36</v>
      </c>
      <c r="D35" t="s">
        <v>16</v>
      </c>
      <c r="E35" t="s">
        <v>96</v>
      </c>
      <c r="F35">
        <v>64851</v>
      </c>
      <c r="G35" t="s">
        <v>154</v>
      </c>
      <c r="H35" t="s">
        <v>13</v>
      </c>
      <c r="I35" t="str">
        <f t="shared" si="3"/>
        <v>36-40</v>
      </c>
      <c r="J35" t="str">
        <f t="shared" si="4"/>
        <v>02</v>
      </c>
      <c r="K35" s="9" t="str">
        <f t="shared" si="5"/>
        <v>Premium</v>
      </c>
    </row>
    <row r="36" spans="1:11" x14ac:dyDescent="0.45">
      <c r="A36" t="s">
        <v>69</v>
      </c>
      <c r="B36" t="s">
        <v>70</v>
      </c>
      <c r="C36">
        <v>22</v>
      </c>
      <c r="D36" t="s">
        <v>16</v>
      </c>
      <c r="E36" t="s">
        <v>11</v>
      </c>
      <c r="F36">
        <v>64772</v>
      </c>
      <c r="G36" t="s">
        <v>71</v>
      </c>
      <c r="H36" t="s">
        <v>13</v>
      </c>
      <c r="I36" t="str">
        <f t="shared" si="3"/>
        <v>21-25</v>
      </c>
      <c r="J36" t="str">
        <f t="shared" si="4"/>
        <v>04</v>
      </c>
      <c r="K36" s="9" t="str">
        <f t="shared" si="5"/>
        <v>Premium</v>
      </c>
    </row>
    <row r="37" spans="1:11" x14ac:dyDescent="0.45">
      <c r="A37" t="s">
        <v>155</v>
      </c>
      <c r="B37" t="s">
        <v>58</v>
      </c>
      <c r="C37">
        <v>22</v>
      </c>
      <c r="D37" t="s">
        <v>16</v>
      </c>
      <c r="E37" t="s">
        <v>96</v>
      </c>
      <c r="F37">
        <v>64562</v>
      </c>
      <c r="G37" t="s">
        <v>156</v>
      </c>
      <c r="H37" t="s">
        <v>18</v>
      </c>
      <c r="I37" t="str">
        <f t="shared" si="3"/>
        <v>21-25</v>
      </c>
      <c r="J37" t="str">
        <f t="shared" si="4"/>
        <v>05</v>
      </c>
      <c r="K37" s="9" t="str">
        <f t="shared" si="5"/>
        <v>Premium</v>
      </c>
    </row>
    <row r="38" spans="1:11" x14ac:dyDescent="0.45">
      <c r="A38" t="s">
        <v>93</v>
      </c>
      <c r="B38" t="s">
        <v>70</v>
      </c>
      <c r="C38">
        <v>31</v>
      </c>
      <c r="D38" t="s">
        <v>16</v>
      </c>
      <c r="E38" t="s">
        <v>11</v>
      </c>
      <c r="F38">
        <v>63695</v>
      </c>
      <c r="G38" t="s">
        <v>94</v>
      </c>
      <c r="H38" t="s">
        <v>18</v>
      </c>
      <c r="I38" t="str">
        <f t="shared" si="3"/>
        <v>31-35</v>
      </c>
      <c r="J38" t="str">
        <f t="shared" si="4"/>
        <v>02</v>
      </c>
      <c r="K38" s="9" t="str">
        <f t="shared" si="5"/>
        <v>Premium</v>
      </c>
    </row>
    <row r="39" spans="1:11" x14ac:dyDescent="0.45">
      <c r="A39" t="s">
        <v>33</v>
      </c>
      <c r="B39" t="s">
        <v>34</v>
      </c>
      <c r="C39">
        <v>37</v>
      </c>
      <c r="D39" t="s">
        <v>16</v>
      </c>
      <c r="E39" t="s">
        <v>11</v>
      </c>
      <c r="F39">
        <v>63466</v>
      </c>
      <c r="G39" t="s">
        <v>35</v>
      </c>
      <c r="H39" t="s">
        <v>18</v>
      </c>
      <c r="I39" t="str">
        <f t="shared" si="3"/>
        <v>36-40</v>
      </c>
      <c r="J39" t="str">
        <f t="shared" si="4"/>
        <v>04</v>
      </c>
      <c r="K39" s="9" t="str">
        <f t="shared" si="5"/>
        <v>Premium</v>
      </c>
    </row>
    <row r="40" spans="1:11" x14ac:dyDescent="0.45">
      <c r="A40" t="s">
        <v>157</v>
      </c>
      <c r="B40" t="s">
        <v>61</v>
      </c>
      <c r="C40">
        <v>45</v>
      </c>
      <c r="D40" t="s">
        <v>10</v>
      </c>
      <c r="E40" t="s">
        <v>96</v>
      </c>
      <c r="F40">
        <v>62806</v>
      </c>
      <c r="G40" t="s">
        <v>29</v>
      </c>
      <c r="H40" t="s">
        <v>13</v>
      </c>
      <c r="I40" t="str">
        <f t="shared" si="3"/>
        <v>41-45</v>
      </c>
      <c r="J40" t="str">
        <f t="shared" si="4"/>
        <v>03</v>
      </c>
      <c r="K40" s="9" t="str">
        <f t="shared" si="5"/>
        <v>Premium</v>
      </c>
    </row>
    <row r="41" spans="1:11" x14ac:dyDescent="0.45">
      <c r="A41" t="s">
        <v>158</v>
      </c>
      <c r="B41" t="s">
        <v>34</v>
      </c>
      <c r="C41">
        <v>24</v>
      </c>
      <c r="D41" t="s">
        <v>10</v>
      </c>
      <c r="E41" t="s">
        <v>96</v>
      </c>
      <c r="F41">
        <v>62068</v>
      </c>
      <c r="G41" t="s">
        <v>148</v>
      </c>
      <c r="H41" t="s">
        <v>18</v>
      </c>
      <c r="I41" t="str">
        <f t="shared" si="3"/>
        <v>21-25</v>
      </c>
      <c r="J41" t="str">
        <f t="shared" si="4"/>
        <v>01</v>
      </c>
      <c r="K41" s="9" t="str">
        <f t="shared" si="5"/>
        <v>Premium</v>
      </c>
    </row>
    <row r="42" spans="1:11" x14ac:dyDescent="0.45">
      <c r="A42" t="s">
        <v>52</v>
      </c>
      <c r="B42" t="s">
        <v>53</v>
      </c>
      <c r="C42">
        <v>41</v>
      </c>
      <c r="D42" t="s">
        <v>10</v>
      </c>
      <c r="E42" t="s">
        <v>11</v>
      </c>
      <c r="F42">
        <v>61693</v>
      </c>
      <c r="G42" t="s">
        <v>54</v>
      </c>
      <c r="H42" t="s">
        <v>18</v>
      </c>
      <c r="I42" t="str">
        <f t="shared" si="3"/>
        <v>41-45</v>
      </c>
      <c r="J42" t="str">
        <f t="shared" si="4"/>
        <v>04</v>
      </c>
      <c r="K42" s="9" t="str">
        <f t="shared" si="5"/>
        <v>Premium</v>
      </c>
    </row>
    <row r="43" spans="1:11" x14ac:dyDescent="0.45">
      <c r="A43" t="s">
        <v>8</v>
      </c>
      <c r="B43" t="s">
        <v>9</v>
      </c>
      <c r="C43">
        <v>46</v>
      </c>
      <c r="D43" t="s">
        <v>10</v>
      </c>
      <c r="E43" t="s">
        <v>11</v>
      </c>
      <c r="F43">
        <v>61562</v>
      </c>
      <c r="G43" t="s">
        <v>12</v>
      </c>
      <c r="H43" t="s">
        <v>13</v>
      </c>
      <c r="I43" t="str">
        <f t="shared" si="3"/>
        <v>46-50</v>
      </c>
      <c r="J43" t="str">
        <f t="shared" si="4"/>
        <v>02</v>
      </c>
      <c r="K43" s="9" t="str">
        <f t="shared" si="5"/>
        <v>Premium</v>
      </c>
    </row>
    <row r="44" spans="1:11" x14ac:dyDescent="0.45">
      <c r="A44" t="s">
        <v>159</v>
      </c>
      <c r="B44" t="s">
        <v>61</v>
      </c>
      <c r="C44">
        <v>38</v>
      </c>
      <c r="D44" t="s">
        <v>10</v>
      </c>
      <c r="E44" t="s">
        <v>96</v>
      </c>
      <c r="F44">
        <v>60881</v>
      </c>
      <c r="G44" t="s">
        <v>59</v>
      </c>
      <c r="H44" t="s">
        <v>18</v>
      </c>
      <c r="I44" t="str">
        <f t="shared" si="3"/>
        <v>36-40</v>
      </c>
      <c r="J44" t="str">
        <f t="shared" si="4"/>
        <v>01</v>
      </c>
      <c r="K44" s="9" t="str">
        <f t="shared" si="5"/>
        <v>Premium</v>
      </c>
    </row>
    <row r="45" spans="1:11" x14ac:dyDescent="0.45">
      <c r="A45" t="s">
        <v>160</v>
      </c>
      <c r="B45" t="s">
        <v>89</v>
      </c>
      <c r="C45">
        <v>24</v>
      </c>
      <c r="D45" t="s">
        <v>10</v>
      </c>
      <c r="E45" t="s">
        <v>96</v>
      </c>
      <c r="F45">
        <v>60115</v>
      </c>
      <c r="G45" t="s">
        <v>161</v>
      </c>
      <c r="H45" t="s">
        <v>18</v>
      </c>
      <c r="I45" t="str">
        <f t="shared" si="3"/>
        <v>21-25</v>
      </c>
      <c r="J45" t="str">
        <f t="shared" si="4"/>
        <v>01</v>
      </c>
      <c r="K45" s="9" t="str">
        <f t="shared" si="5"/>
        <v>Premium</v>
      </c>
    </row>
    <row r="46" spans="1:11" x14ac:dyDescent="0.45">
      <c r="A46" t="s">
        <v>162</v>
      </c>
      <c r="B46" t="s">
        <v>136</v>
      </c>
      <c r="C46">
        <v>33</v>
      </c>
      <c r="D46" t="s">
        <v>10</v>
      </c>
      <c r="E46" t="s">
        <v>96</v>
      </c>
      <c r="F46">
        <v>59865</v>
      </c>
      <c r="G46" t="s">
        <v>163</v>
      </c>
      <c r="H46" t="s">
        <v>18</v>
      </c>
      <c r="I46" t="str">
        <f t="shared" si="3"/>
        <v>31-35</v>
      </c>
      <c r="J46" t="str">
        <f t="shared" si="4"/>
        <v>01</v>
      </c>
      <c r="K46" s="9" t="str">
        <f t="shared" si="5"/>
        <v>Premium</v>
      </c>
    </row>
    <row r="47" spans="1:11" x14ac:dyDescent="0.45">
      <c r="A47" t="s">
        <v>164</v>
      </c>
      <c r="B47" t="s">
        <v>9</v>
      </c>
      <c r="C47">
        <v>37</v>
      </c>
      <c r="D47" t="s">
        <v>16</v>
      </c>
      <c r="E47" t="s">
        <v>96</v>
      </c>
      <c r="F47">
        <v>59638</v>
      </c>
      <c r="G47" t="s">
        <v>165</v>
      </c>
      <c r="H47" t="s">
        <v>13</v>
      </c>
      <c r="I47" t="str">
        <f t="shared" si="3"/>
        <v>36-40</v>
      </c>
      <c r="J47" t="str">
        <f t="shared" si="4"/>
        <v>04</v>
      </c>
      <c r="K47" s="9" t="str">
        <f t="shared" si="5"/>
        <v>Premium</v>
      </c>
    </row>
    <row r="48" spans="1:11" x14ac:dyDescent="0.45">
      <c r="A48" t="s">
        <v>166</v>
      </c>
      <c r="B48" t="s">
        <v>50</v>
      </c>
      <c r="C48">
        <v>29</v>
      </c>
      <c r="D48" t="s">
        <v>10</v>
      </c>
      <c r="E48" t="s">
        <v>96</v>
      </c>
      <c r="F48">
        <v>59349</v>
      </c>
      <c r="G48" t="s">
        <v>167</v>
      </c>
      <c r="H48" t="s">
        <v>18</v>
      </c>
      <c r="I48" t="str">
        <f t="shared" si="3"/>
        <v>26-30</v>
      </c>
      <c r="J48" t="str">
        <f t="shared" si="4"/>
        <v>01</v>
      </c>
      <c r="K48" s="9" t="str">
        <f t="shared" si="5"/>
        <v>Premium</v>
      </c>
    </row>
    <row r="49" spans="1:11" x14ac:dyDescent="0.45">
      <c r="A49" t="s">
        <v>168</v>
      </c>
      <c r="B49" t="s">
        <v>28</v>
      </c>
      <c r="C49">
        <v>31</v>
      </c>
      <c r="D49" t="s">
        <v>16</v>
      </c>
      <c r="E49" t="s">
        <v>96</v>
      </c>
      <c r="F49">
        <v>59321</v>
      </c>
      <c r="G49" t="s">
        <v>169</v>
      </c>
      <c r="H49" t="s">
        <v>18</v>
      </c>
      <c r="I49" t="str">
        <f t="shared" si="3"/>
        <v>31-35</v>
      </c>
      <c r="J49" t="str">
        <f t="shared" si="4"/>
        <v>06</v>
      </c>
      <c r="K49" s="9" t="str">
        <f t="shared" si="5"/>
        <v>Premium</v>
      </c>
    </row>
    <row r="50" spans="1:11" x14ac:dyDescent="0.45">
      <c r="A50" t="s">
        <v>170</v>
      </c>
      <c r="B50" t="s">
        <v>31</v>
      </c>
      <c r="C50">
        <v>31</v>
      </c>
      <c r="D50" t="s">
        <v>16</v>
      </c>
      <c r="E50" t="s">
        <v>96</v>
      </c>
      <c r="F50">
        <v>58267</v>
      </c>
      <c r="G50" t="s">
        <v>171</v>
      </c>
      <c r="H50" t="s">
        <v>18</v>
      </c>
      <c r="I50" t="str">
        <f t="shared" si="3"/>
        <v>31-35</v>
      </c>
      <c r="J50" t="str">
        <f t="shared" si="4"/>
        <v>06</v>
      </c>
      <c r="K50" s="9" t="str">
        <f t="shared" si="5"/>
        <v>Premium</v>
      </c>
    </row>
    <row r="51" spans="1:11" x14ac:dyDescent="0.45">
      <c r="A51" t="s">
        <v>82</v>
      </c>
      <c r="B51" t="s">
        <v>20</v>
      </c>
      <c r="C51">
        <v>33</v>
      </c>
      <c r="D51" t="s">
        <v>10</v>
      </c>
      <c r="E51" t="s">
        <v>11</v>
      </c>
      <c r="F51">
        <v>58107</v>
      </c>
      <c r="G51" t="s">
        <v>83</v>
      </c>
      <c r="H51" t="s">
        <v>13</v>
      </c>
      <c r="I51" t="str">
        <f t="shared" si="3"/>
        <v>31-35</v>
      </c>
      <c r="J51" t="str">
        <f t="shared" si="4"/>
        <v>04</v>
      </c>
      <c r="K51" s="9" t="str">
        <f t="shared" si="5"/>
        <v>Premium</v>
      </c>
    </row>
    <row r="52" spans="1:11" x14ac:dyDescent="0.45">
      <c r="A52" t="s">
        <v>78</v>
      </c>
      <c r="B52" t="s">
        <v>28</v>
      </c>
      <c r="C52">
        <v>39</v>
      </c>
      <c r="D52" t="s">
        <v>10</v>
      </c>
      <c r="E52" t="s">
        <v>11</v>
      </c>
      <c r="F52">
        <v>57750</v>
      </c>
      <c r="G52" t="s">
        <v>79</v>
      </c>
      <c r="H52" t="s">
        <v>18</v>
      </c>
      <c r="I52" t="str">
        <f t="shared" si="3"/>
        <v>36-40</v>
      </c>
      <c r="J52" t="str">
        <f t="shared" si="4"/>
        <v>03</v>
      </c>
      <c r="K52" s="9" t="str">
        <f t="shared" si="5"/>
        <v>Premium</v>
      </c>
    </row>
    <row r="53" spans="1:11" x14ac:dyDescent="0.45">
      <c r="A53" t="s">
        <v>172</v>
      </c>
      <c r="B53" t="s">
        <v>58</v>
      </c>
      <c r="C53">
        <v>38</v>
      </c>
      <c r="D53" t="s">
        <v>10</v>
      </c>
      <c r="E53" t="s">
        <v>96</v>
      </c>
      <c r="F53">
        <v>57289</v>
      </c>
      <c r="G53" t="s">
        <v>173</v>
      </c>
      <c r="H53" t="s">
        <v>18</v>
      </c>
      <c r="I53" t="str">
        <f t="shared" si="3"/>
        <v>36-40</v>
      </c>
      <c r="J53" t="str">
        <f t="shared" si="4"/>
        <v>01</v>
      </c>
      <c r="K53" s="9" t="str">
        <f t="shared" si="5"/>
        <v>Premium</v>
      </c>
    </row>
    <row r="54" spans="1:11" x14ac:dyDescent="0.45">
      <c r="A54" t="s">
        <v>88</v>
      </c>
      <c r="B54" t="s">
        <v>89</v>
      </c>
      <c r="C54">
        <v>39</v>
      </c>
      <c r="D54" t="s">
        <v>16</v>
      </c>
      <c r="E54" t="s">
        <v>11</v>
      </c>
      <c r="F54">
        <v>57093</v>
      </c>
      <c r="G54" t="s">
        <v>90</v>
      </c>
      <c r="H54" t="s">
        <v>18</v>
      </c>
      <c r="I54" t="str">
        <f t="shared" si="3"/>
        <v>36-40</v>
      </c>
      <c r="J54" t="str">
        <f t="shared" si="4"/>
        <v>04</v>
      </c>
      <c r="K54" s="9" t="str">
        <f t="shared" si="5"/>
        <v>Premium</v>
      </c>
    </row>
    <row r="55" spans="1:11" x14ac:dyDescent="0.45">
      <c r="A55" t="s">
        <v>80</v>
      </c>
      <c r="B55" t="s">
        <v>45</v>
      </c>
      <c r="C55">
        <v>33</v>
      </c>
      <c r="D55" t="s">
        <v>10</v>
      </c>
      <c r="E55" t="s">
        <v>11</v>
      </c>
      <c r="F55">
        <v>57004</v>
      </c>
      <c r="G55" t="s">
        <v>81</v>
      </c>
      <c r="H55" t="s">
        <v>18</v>
      </c>
      <c r="I55" t="str">
        <f t="shared" si="3"/>
        <v>31-35</v>
      </c>
      <c r="J55" t="str">
        <f t="shared" si="4"/>
        <v>06</v>
      </c>
      <c r="K55" s="9" t="str">
        <f t="shared" si="5"/>
        <v>Premium</v>
      </c>
    </row>
    <row r="56" spans="1:11" x14ac:dyDescent="0.45">
      <c r="A56" t="s">
        <v>174</v>
      </c>
      <c r="B56" t="s">
        <v>61</v>
      </c>
      <c r="C56">
        <v>25</v>
      </c>
      <c r="D56" t="s">
        <v>10</v>
      </c>
      <c r="E56" t="s">
        <v>96</v>
      </c>
      <c r="F56">
        <v>56948</v>
      </c>
      <c r="G56" t="s">
        <v>175</v>
      </c>
      <c r="H56" t="s">
        <v>13</v>
      </c>
      <c r="I56" t="str">
        <f t="shared" si="3"/>
        <v>21-25</v>
      </c>
      <c r="J56" t="str">
        <f t="shared" si="4"/>
        <v>02</v>
      </c>
      <c r="K56" s="9" t="str">
        <f t="shared" si="5"/>
        <v>Premium</v>
      </c>
    </row>
    <row r="57" spans="1:11" x14ac:dyDescent="0.45">
      <c r="A57" t="s">
        <v>176</v>
      </c>
      <c r="B57" t="s">
        <v>34</v>
      </c>
      <c r="C57">
        <v>28</v>
      </c>
      <c r="D57" t="s">
        <v>10</v>
      </c>
      <c r="E57" t="s">
        <v>96</v>
      </c>
      <c r="F57">
        <v>56355</v>
      </c>
      <c r="G57" t="s">
        <v>177</v>
      </c>
      <c r="H57" t="s">
        <v>18</v>
      </c>
      <c r="I57" t="str">
        <f t="shared" si="3"/>
        <v>26-30</v>
      </c>
      <c r="J57" t="str">
        <f t="shared" si="4"/>
        <v>06</v>
      </c>
      <c r="K57" s="9" t="str">
        <f t="shared" si="5"/>
        <v>Premium</v>
      </c>
    </row>
    <row r="58" spans="1:11" x14ac:dyDescent="0.45">
      <c r="A58" t="s">
        <v>66</v>
      </c>
      <c r="B58" t="s">
        <v>37</v>
      </c>
      <c r="C58">
        <v>41</v>
      </c>
      <c r="D58" t="s">
        <v>10</v>
      </c>
      <c r="E58" t="s">
        <v>11</v>
      </c>
      <c r="F58">
        <v>56123</v>
      </c>
      <c r="G58" t="s">
        <v>67</v>
      </c>
      <c r="H58" t="s">
        <v>18</v>
      </c>
      <c r="I58" t="str">
        <f t="shared" si="3"/>
        <v>41-45</v>
      </c>
      <c r="J58" t="str">
        <f t="shared" si="4"/>
        <v>06</v>
      </c>
      <c r="K58" s="9" t="str">
        <f t="shared" si="5"/>
        <v>Premium</v>
      </c>
    </row>
    <row r="59" spans="1:11" x14ac:dyDescent="0.45">
      <c r="A59" t="s">
        <v>178</v>
      </c>
      <c r="B59" t="s">
        <v>53</v>
      </c>
      <c r="C59">
        <v>25</v>
      </c>
      <c r="D59" t="s">
        <v>16</v>
      </c>
      <c r="E59" t="s">
        <v>96</v>
      </c>
      <c r="F59">
        <v>55989</v>
      </c>
      <c r="G59" t="s">
        <v>179</v>
      </c>
      <c r="H59" t="s">
        <v>13</v>
      </c>
      <c r="I59" t="str">
        <f t="shared" si="3"/>
        <v>21-25</v>
      </c>
      <c r="J59" t="str">
        <f t="shared" si="4"/>
        <v>02</v>
      </c>
      <c r="K59" s="9" t="str">
        <f t="shared" si="5"/>
        <v>Premium</v>
      </c>
    </row>
    <row r="60" spans="1:11" x14ac:dyDescent="0.45">
      <c r="A60" t="s">
        <v>180</v>
      </c>
      <c r="B60" t="s">
        <v>9</v>
      </c>
      <c r="C60">
        <v>40</v>
      </c>
      <c r="D60" t="s">
        <v>10</v>
      </c>
      <c r="E60" t="s">
        <v>96</v>
      </c>
      <c r="F60">
        <v>55709</v>
      </c>
      <c r="G60" t="s">
        <v>132</v>
      </c>
      <c r="H60" t="s">
        <v>18</v>
      </c>
      <c r="I60" t="str">
        <f t="shared" si="3"/>
        <v>36-40</v>
      </c>
      <c r="J60" t="str">
        <f t="shared" si="4"/>
        <v>02</v>
      </c>
      <c r="K60" s="9" t="str">
        <f t="shared" si="5"/>
        <v>Premium</v>
      </c>
    </row>
    <row r="61" spans="1:11" x14ac:dyDescent="0.45">
      <c r="A61" t="s">
        <v>22</v>
      </c>
      <c r="B61" t="s">
        <v>23</v>
      </c>
      <c r="C61">
        <v>38</v>
      </c>
      <c r="D61" t="s">
        <v>10</v>
      </c>
      <c r="E61" t="s">
        <v>11</v>
      </c>
      <c r="F61">
        <v>55470</v>
      </c>
      <c r="G61" t="s">
        <v>24</v>
      </c>
      <c r="H61" t="s">
        <v>18</v>
      </c>
      <c r="I61" t="str">
        <f t="shared" si="3"/>
        <v>36-40</v>
      </c>
      <c r="J61" t="str">
        <f t="shared" si="4"/>
        <v>04</v>
      </c>
      <c r="K61" s="9" t="str">
        <f t="shared" si="5"/>
        <v>Premium</v>
      </c>
    </row>
    <row r="62" spans="1:11" x14ac:dyDescent="0.45">
      <c r="A62" t="s">
        <v>181</v>
      </c>
      <c r="B62" t="s">
        <v>58</v>
      </c>
      <c r="C62">
        <v>29</v>
      </c>
      <c r="D62" t="s">
        <v>16</v>
      </c>
      <c r="E62" t="s">
        <v>96</v>
      </c>
      <c r="F62">
        <v>55197</v>
      </c>
      <c r="G62" t="s">
        <v>182</v>
      </c>
      <c r="H62" t="s">
        <v>18</v>
      </c>
      <c r="I62" t="str">
        <f t="shared" si="3"/>
        <v>26-30</v>
      </c>
      <c r="J62" t="str">
        <f t="shared" si="4"/>
        <v>03</v>
      </c>
      <c r="K62" s="9" t="str">
        <f t="shared" si="5"/>
        <v>Premium</v>
      </c>
    </row>
    <row r="63" spans="1:11" x14ac:dyDescent="0.45">
      <c r="A63" t="s">
        <v>183</v>
      </c>
      <c r="B63" t="s">
        <v>45</v>
      </c>
      <c r="C63">
        <v>43</v>
      </c>
      <c r="D63" t="s">
        <v>16</v>
      </c>
      <c r="E63" t="s">
        <v>96</v>
      </c>
      <c r="F63">
        <v>54115</v>
      </c>
      <c r="G63" t="s">
        <v>184</v>
      </c>
      <c r="H63" t="s">
        <v>13</v>
      </c>
      <c r="I63" t="str">
        <f t="shared" si="3"/>
        <v>41-45</v>
      </c>
      <c r="J63" t="str">
        <f t="shared" si="4"/>
        <v>05</v>
      </c>
      <c r="K63" s="9" t="str">
        <f t="shared" si="5"/>
        <v>Premium</v>
      </c>
    </row>
    <row r="64" spans="1:11" x14ac:dyDescent="0.45">
      <c r="A64" t="s">
        <v>185</v>
      </c>
      <c r="B64" t="s">
        <v>31</v>
      </c>
      <c r="C64">
        <v>24</v>
      </c>
      <c r="D64" t="s">
        <v>10</v>
      </c>
      <c r="E64" t="s">
        <v>96</v>
      </c>
      <c r="F64">
        <v>53874</v>
      </c>
      <c r="G64" t="s">
        <v>186</v>
      </c>
      <c r="H64" t="s">
        <v>13</v>
      </c>
      <c r="I64" t="str">
        <f t="shared" si="3"/>
        <v>21-25</v>
      </c>
      <c r="J64" t="str">
        <f t="shared" si="4"/>
        <v>04</v>
      </c>
      <c r="K64" s="9" t="str">
        <f t="shared" si="5"/>
        <v>Premium</v>
      </c>
    </row>
    <row r="65" spans="1:11" x14ac:dyDescent="0.45">
      <c r="A65" t="s">
        <v>187</v>
      </c>
      <c r="B65" t="s">
        <v>34</v>
      </c>
      <c r="C65">
        <v>38</v>
      </c>
      <c r="D65" t="s">
        <v>16</v>
      </c>
      <c r="E65" t="s">
        <v>96</v>
      </c>
      <c r="F65">
        <v>53733</v>
      </c>
      <c r="G65" t="s">
        <v>188</v>
      </c>
      <c r="H65" t="s">
        <v>18</v>
      </c>
      <c r="I65" t="str">
        <f t="shared" si="3"/>
        <v>36-40</v>
      </c>
      <c r="J65" t="str">
        <f t="shared" si="4"/>
        <v>02</v>
      </c>
      <c r="K65" s="9" t="str">
        <f t="shared" si="5"/>
        <v>Premium</v>
      </c>
    </row>
    <row r="66" spans="1:11" x14ac:dyDescent="0.45">
      <c r="A66" t="s">
        <v>189</v>
      </c>
      <c r="B66" t="s">
        <v>23</v>
      </c>
      <c r="C66">
        <v>30</v>
      </c>
      <c r="D66" t="s">
        <v>10</v>
      </c>
      <c r="E66" t="s">
        <v>96</v>
      </c>
      <c r="F66">
        <v>53720</v>
      </c>
      <c r="G66" t="s">
        <v>190</v>
      </c>
      <c r="H66" t="s">
        <v>13</v>
      </c>
      <c r="I66" t="str">
        <f t="shared" ref="I66:I97" si="6">IF(C66&lt;=25,"21-25",IF(C66&lt;=30,"26-30",IF(C66&lt;=35,"31-35",IF(C66&lt;=40,"36-40",IF(C66&lt;=45,"41-45","46-50")))))</f>
        <v>26-30</v>
      </c>
      <c r="J66" t="str">
        <f t="shared" ref="J66:J97" si="7">MID(G66,4,2)</f>
        <v>05</v>
      </c>
      <c r="K66" s="9" t="str">
        <f t="shared" ref="K66:K97" si="8">IF(F66&lt;30000,"Budget",IF(F66&lt;=50000,"Standard","Premium"))</f>
        <v>Premium</v>
      </c>
    </row>
    <row r="67" spans="1:11" x14ac:dyDescent="0.45">
      <c r="A67" t="s">
        <v>191</v>
      </c>
      <c r="B67" t="s">
        <v>73</v>
      </c>
      <c r="C67">
        <v>37</v>
      </c>
      <c r="D67" t="s">
        <v>16</v>
      </c>
      <c r="E67" t="s">
        <v>96</v>
      </c>
      <c r="F67">
        <v>53612</v>
      </c>
      <c r="G67" t="s">
        <v>192</v>
      </c>
      <c r="H67" t="s">
        <v>18</v>
      </c>
      <c r="I67" t="str">
        <f t="shared" si="6"/>
        <v>36-40</v>
      </c>
      <c r="J67" t="str">
        <f t="shared" si="7"/>
        <v>03</v>
      </c>
      <c r="K67" s="9" t="str">
        <f t="shared" si="8"/>
        <v>Premium</v>
      </c>
    </row>
    <row r="68" spans="1:11" x14ac:dyDescent="0.45">
      <c r="A68" t="s">
        <v>193</v>
      </c>
      <c r="B68" t="s">
        <v>20</v>
      </c>
      <c r="C68">
        <v>28</v>
      </c>
      <c r="D68" t="s">
        <v>10</v>
      </c>
      <c r="E68" t="s">
        <v>96</v>
      </c>
      <c r="F68">
        <v>53100</v>
      </c>
      <c r="G68" t="s">
        <v>194</v>
      </c>
      <c r="H68" t="s">
        <v>18</v>
      </c>
      <c r="I68" t="str">
        <f t="shared" si="6"/>
        <v>26-30</v>
      </c>
      <c r="J68" t="str">
        <f t="shared" si="7"/>
        <v>01</v>
      </c>
      <c r="K68" s="9" t="str">
        <f t="shared" si="8"/>
        <v>Premium</v>
      </c>
    </row>
    <row r="69" spans="1:11" x14ac:dyDescent="0.45">
      <c r="A69" t="s">
        <v>195</v>
      </c>
      <c r="B69" t="s">
        <v>53</v>
      </c>
      <c r="C69">
        <v>25</v>
      </c>
      <c r="D69" t="s">
        <v>16</v>
      </c>
      <c r="E69" t="s">
        <v>96</v>
      </c>
      <c r="F69">
        <v>52388</v>
      </c>
      <c r="G69" t="s">
        <v>35</v>
      </c>
      <c r="H69" t="s">
        <v>18</v>
      </c>
      <c r="I69" t="str">
        <f t="shared" si="6"/>
        <v>21-25</v>
      </c>
      <c r="J69" t="str">
        <f t="shared" si="7"/>
        <v>04</v>
      </c>
      <c r="K69" s="9" t="str">
        <f t="shared" si="8"/>
        <v>Premium</v>
      </c>
    </row>
    <row r="70" spans="1:11" x14ac:dyDescent="0.45">
      <c r="A70" t="s">
        <v>196</v>
      </c>
      <c r="B70" t="s">
        <v>50</v>
      </c>
      <c r="C70">
        <v>33</v>
      </c>
      <c r="D70" t="s">
        <v>10</v>
      </c>
      <c r="E70" t="s">
        <v>96</v>
      </c>
      <c r="F70">
        <v>52169</v>
      </c>
      <c r="G70" t="s">
        <v>81</v>
      </c>
      <c r="H70" t="s">
        <v>18</v>
      </c>
      <c r="I70" t="str">
        <f t="shared" si="6"/>
        <v>31-35</v>
      </c>
      <c r="J70" t="str">
        <f t="shared" si="7"/>
        <v>06</v>
      </c>
      <c r="K70" s="9" t="str">
        <f t="shared" si="8"/>
        <v>Premium</v>
      </c>
    </row>
    <row r="71" spans="1:11" x14ac:dyDescent="0.45">
      <c r="A71" t="s">
        <v>197</v>
      </c>
      <c r="B71" t="s">
        <v>76</v>
      </c>
      <c r="C71">
        <v>23</v>
      </c>
      <c r="D71" t="s">
        <v>10</v>
      </c>
      <c r="E71" t="s">
        <v>96</v>
      </c>
      <c r="F71">
        <v>51601</v>
      </c>
      <c r="G71" t="s">
        <v>198</v>
      </c>
      <c r="H71" t="s">
        <v>18</v>
      </c>
      <c r="I71" t="str">
        <f t="shared" si="6"/>
        <v>21-25</v>
      </c>
      <c r="J71" t="str">
        <f t="shared" si="7"/>
        <v>06</v>
      </c>
      <c r="K71" s="9" t="str">
        <f t="shared" si="8"/>
        <v>Premium</v>
      </c>
    </row>
    <row r="72" spans="1:11" x14ac:dyDescent="0.45">
      <c r="A72" t="s">
        <v>199</v>
      </c>
      <c r="B72" t="s">
        <v>23</v>
      </c>
      <c r="C72">
        <v>24</v>
      </c>
      <c r="D72" t="s">
        <v>10</v>
      </c>
      <c r="E72" t="s">
        <v>96</v>
      </c>
      <c r="F72">
        <v>51352</v>
      </c>
      <c r="G72" t="s">
        <v>200</v>
      </c>
      <c r="H72" t="s">
        <v>13</v>
      </c>
      <c r="I72" t="str">
        <f t="shared" si="6"/>
        <v>21-25</v>
      </c>
      <c r="J72" t="str">
        <f t="shared" si="7"/>
        <v>03</v>
      </c>
      <c r="K72" s="9" t="str">
        <f t="shared" si="8"/>
        <v>Premium</v>
      </c>
    </row>
    <row r="73" spans="1:11" x14ac:dyDescent="0.45">
      <c r="A73" t="s">
        <v>201</v>
      </c>
      <c r="B73" t="s">
        <v>28</v>
      </c>
      <c r="C73">
        <v>36</v>
      </c>
      <c r="D73" t="s">
        <v>16</v>
      </c>
      <c r="E73" t="s">
        <v>96</v>
      </c>
      <c r="F73">
        <v>50468</v>
      </c>
      <c r="G73" t="s">
        <v>12</v>
      </c>
      <c r="H73" t="s">
        <v>18</v>
      </c>
      <c r="I73" t="str">
        <f t="shared" si="6"/>
        <v>36-40</v>
      </c>
      <c r="J73" t="str">
        <f t="shared" si="7"/>
        <v>02</v>
      </c>
      <c r="K73" s="9" t="str">
        <f t="shared" si="8"/>
        <v>Premium</v>
      </c>
    </row>
    <row r="74" spans="1:11" x14ac:dyDescent="0.45">
      <c r="A74" t="s">
        <v>202</v>
      </c>
      <c r="B74" t="s">
        <v>61</v>
      </c>
      <c r="C74">
        <v>50</v>
      </c>
      <c r="D74" t="s">
        <v>16</v>
      </c>
      <c r="E74" t="s">
        <v>96</v>
      </c>
      <c r="F74">
        <v>50046</v>
      </c>
      <c r="G74" t="s">
        <v>203</v>
      </c>
      <c r="H74" t="s">
        <v>18</v>
      </c>
      <c r="I74" t="str">
        <f t="shared" si="6"/>
        <v>46-50</v>
      </c>
      <c r="J74" t="str">
        <f t="shared" si="7"/>
        <v>04</v>
      </c>
      <c r="K74" s="9" t="str">
        <f t="shared" si="8"/>
        <v>Premium</v>
      </c>
    </row>
    <row r="75" spans="1:11" x14ac:dyDescent="0.45">
      <c r="A75" t="s">
        <v>204</v>
      </c>
      <c r="B75" t="s">
        <v>89</v>
      </c>
      <c r="C75">
        <v>40</v>
      </c>
      <c r="D75" t="s">
        <v>10</v>
      </c>
      <c r="E75" t="s">
        <v>98</v>
      </c>
      <c r="F75">
        <v>39546</v>
      </c>
      <c r="G75" t="s">
        <v>205</v>
      </c>
      <c r="H75" t="s">
        <v>18</v>
      </c>
      <c r="I75" t="str">
        <f t="shared" si="6"/>
        <v>36-40</v>
      </c>
      <c r="J75" t="str">
        <f t="shared" si="7"/>
        <v>06</v>
      </c>
      <c r="K75" s="9" t="str">
        <f t="shared" si="8"/>
        <v>Standard</v>
      </c>
    </row>
    <row r="76" spans="1:11" x14ac:dyDescent="0.45">
      <c r="A76" t="s">
        <v>206</v>
      </c>
      <c r="B76" t="s">
        <v>37</v>
      </c>
      <c r="C76">
        <v>33</v>
      </c>
      <c r="D76" t="s">
        <v>10</v>
      </c>
      <c r="E76" t="s">
        <v>98</v>
      </c>
      <c r="F76">
        <v>38962</v>
      </c>
      <c r="G76" t="s">
        <v>71</v>
      </c>
      <c r="H76" t="s">
        <v>18</v>
      </c>
      <c r="I76" t="str">
        <f t="shared" si="6"/>
        <v>31-35</v>
      </c>
      <c r="J76" t="str">
        <f t="shared" si="7"/>
        <v>04</v>
      </c>
      <c r="K76" s="9" t="str">
        <f t="shared" si="8"/>
        <v>Standard</v>
      </c>
    </row>
    <row r="77" spans="1:11" x14ac:dyDescent="0.45">
      <c r="A77" t="s">
        <v>207</v>
      </c>
      <c r="B77" t="s">
        <v>73</v>
      </c>
      <c r="C77">
        <v>43</v>
      </c>
      <c r="D77" t="s">
        <v>10</v>
      </c>
      <c r="E77" t="s">
        <v>98</v>
      </c>
      <c r="F77">
        <v>38662</v>
      </c>
      <c r="G77" t="s">
        <v>208</v>
      </c>
      <c r="H77" t="s">
        <v>13</v>
      </c>
      <c r="I77" t="str">
        <f t="shared" si="6"/>
        <v>41-45</v>
      </c>
      <c r="J77" t="str">
        <f t="shared" si="7"/>
        <v>05</v>
      </c>
      <c r="K77" s="9" t="str">
        <f t="shared" si="8"/>
        <v>Standard</v>
      </c>
    </row>
    <row r="78" spans="1:11" x14ac:dyDescent="0.45">
      <c r="A78" t="s">
        <v>209</v>
      </c>
      <c r="B78" t="s">
        <v>23</v>
      </c>
      <c r="C78">
        <v>38</v>
      </c>
      <c r="D78" t="s">
        <v>16</v>
      </c>
      <c r="E78" t="s">
        <v>98</v>
      </c>
      <c r="F78">
        <v>38063</v>
      </c>
      <c r="G78" t="s">
        <v>182</v>
      </c>
      <c r="H78" t="s">
        <v>18</v>
      </c>
      <c r="I78" t="str">
        <f t="shared" si="6"/>
        <v>36-40</v>
      </c>
      <c r="J78" t="str">
        <f t="shared" si="7"/>
        <v>03</v>
      </c>
      <c r="K78" s="9" t="str">
        <f t="shared" si="8"/>
        <v>Standard</v>
      </c>
    </row>
    <row r="79" spans="1:11" x14ac:dyDescent="0.45">
      <c r="A79" t="s">
        <v>210</v>
      </c>
      <c r="B79" t="s">
        <v>58</v>
      </c>
      <c r="C79">
        <v>39</v>
      </c>
      <c r="D79" t="s">
        <v>10</v>
      </c>
      <c r="E79" t="s">
        <v>98</v>
      </c>
      <c r="F79">
        <v>37630</v>
      </c>
      <c r="G79" t="s">
        <v>211</v>
      </c>
      <c r="H79" t="s">
        <v>18</v>
      </c>
      <c r="I79" t="str">
        <f t="shared" si="6"/>
        <v>36-40</v>
      </c>
      <c r="J79" t="str">
        <f t="shared" si="7"/>
        <v>03</v>
      </c>
      <c r="K79" s="9" t="str">
        <f t="shared" si="8"/>
        <v>Standard</v>
      </c>
    </row>
    <row r="80" spans="1:11" x14ac:dyDescent="0.45">
      <c r="A80" t="s">
        <v>212</v>
      </c>
      <c r="B80" t="s">
        <v>58</v>
      </c>
      <c r="C80">
        <v>36</v>
      </c>
      <c r="D80" t="s">
        <v>10</v>
      </c>
      <c r="E80" t="s">
        <v>98</v>
      </c>
      <c r="F80">
        <v>37200</v>
      </c>
      <c r="G80" t="s">
        <v>194</v>
      </c>
      <c r="H80" t="s">
        <v>18</v>
      </c>
      <c r="I80" t="str">
        <f t="shared" si="6"/>
        <v>36-40</v>
      </c>
      <c r="J80" t="str">
        <f t="shared" si="7"/>
        <v>01</v>
      </c>
      <c r="K80" s="9" t="str">
        <f t="shared" si="8"/>
        <v>Standard</v>
      </c>
    </row>
    <row r="81" spans="1:11" x14ac:dyDescent="0.45">
      <c r="A81" t="s">
        <v>213</v>
      </c>
      <c r="B81" t="s">
        <v>40</v>
      </c>
      <c r="C81">
        <v>22</v>
      </c>
      <c r="D81" t="s">
        <v>16</v>
      </c>
      <c r="E81" t="s">
        <v>98</v>
      </c>
      <c r="F81">
        <v>36647</v>
      </c>
      <c r="G81" t="s">
        <v>214</v>
      </c>
      <c r="H81" t="s">
        <v>18</v>
      </c>
      <c r="I81" t="str">
        <f t="shared" si="6"/>
        <v>21-25</v>
      </c>
      <c r="J81" t="str">
        <f t="shared" si="7"/>
        <v>05</v>
      </c>
      <c r="K81" s="9" t="str">
        <f t="shared" si="8"/>
        <v>Standard</v>
      </c>
    </row>
    <row r="82" spans="1:11" x14ac:dyDescent="0.45">
      <c r="A82" t="s">
        <v>215</v>
      </c>
      <c r="B82" t="s">
        <v>9</v>
      </c>
      <c r="C82">
        <v>31</v>
      </c>
      <c r="D82" t="s">
        <v>10</v>
      </c>
      <c r="E82" t="s">
        <v>98</v>
      </c>
      <c r="F82">
        <v>35911</v>
      </c>
      <c r="G82" t="s">
        <v>216</v>
      </c>
      <c r="H82" t="s">
        <v>18</v>
      </c>
      <c r="I82" t="str">
        <f t="shared" si="6"/>
        <v>31-35</v>
      </c>
      <c r="J82" t="str">
        <f t="shared" si="7"/>
        <v>03</v>
      </c>
      <c r="K82" s="9" t="str">
        <f t="shared" si="8"/>
        <v>Standard</v>
      </c>
    </row>
    <row r="83" spans="1:11" x14ac:dyDescent="0.45">
      <c r="A83" t="s">
        <v>217</v>
      </c>
      <c r="B83" t="s">
        <v>64</v>
      </c>
      <c r="C83">
        <v>42</v>
      </c>
      <c r="D83" t="s">
        <v>10</v>
      </c>
      <c r="E83" t="s">
        <v>98</v>
      </c>
      <c r="F83">
        <v>35668</v>
      </c>
      <c r="G83" t="s">
        <v>218</v>
      </c>
      <c r="H83" t="s">
        <v>18</v>
      </c>
      <c r="I83" t="str">
        <f t="shared" si="6"/>
        <v>41-45</v>
      </c>
      <c r="J83" t="str">
        <f t="shared" si="7"/>
        <v>01</v>
      </c>
      <c r="K83" s="9" t="str">
        <f t="shared" si="8"/>
        <v>Standard</v>
      </c>
    </row>
    <row r="84" spans="1:11" x14ac:dyDescent="0.45">
      <c r="A84" t="s">
        <v>219</v>
      </c>
      <c r="B84" t="s">
        <v>23</v>
      </c>
      <c r="C84">
        <v>50</v>
      </c>
      <c r="D84" t="s">
        <v>16</v>
      </c>
      <c r="E84" t="s">
        <v>98</v>
      </c>
      <c r="F84">
        <v>35549</v>
      </c>
      <c r="G84" t="s">
        <v>220</v>
      </c>
      <c r="H84" t="s">
        <v>18</v>
      </c>
      <c r="I84" t="str">
        <f t="shared" si="6"/>
        <v>46-50</v>
      </c>
      <c r="J84" t="str">
        <f t="shared" si="7"/>
        <v>03</v>
      </c>
      <c r="K84" s="9" t="str">
        <f t="shared" si="8"/>
        <v>Standard</v>
      </c>
    </row>
    <row r="85" spans="1:11" x14ac:dyDescent="0.45">
      <c r="A85" t="s">
        <v>221</v>
      </c>
      <c r="B85" t="s">
        <v>53</v>
      </c>
      <c r="C85">
        <v>36</v>
      </c>
      <c r="D85" t="s">
        <v>10</v>
      </c>
      <c r="E85" t="s">
        <v>98</v>
      </c>
      <c r="F85">
        <v>35286</v>
      </c>
      <c r="G85" t="s">
        <v>222</v>
      </c>
      <c r="H85" t="s">
        <v>13</v>
      </c>
      <c r="I85" t="str">
        <f t="shared" si="6"/>
        <v>36-40</v>
      </c>
      <c r="J85" t="str">
        <f t="shared" si="7"/>
        <v>05</v>
      </c>
      <c r="K85" s="9" t="str">
        <f t="shared" si="8"/>
        <v>Standard</v>
      </c>
    </row>
    <row r="86" spans="1:11" x14ac:dyDescent="0.45">
      <c r="A86" t="s">
        <v>223</v>
      </c>
      <c r="B86" t="s">
        <v>28</v>
      </c>
      <c r="C86">
        <v>28</v>
      </c>
      <c r="D86" t="s">
        <v>10</v>
      </c>
      <c r="E86" t="s">
        <v>98</v>
      </c>
      <c r="F86">
        <v>35215</v>
      </c>
      <c r="G86" t="s">
        <v>224</v>
      </c>
      <c r="H86" t="s">
        <v>13</v>
      </c>
      <c r="I86" t="str">
        <f t="shared" si="6"/>
        <v>26-30</v>
      </c>
      <c r="J86" t="str">
        <f t="shared" si="7"/>
        <v>01</v>
      </c>
      <c r="K86" s="9" t="str">
        <f t="shared" si="8"/>
        <v>Standard</v>
      </c>
    </row>
    <row r="87" spans="1:11" x14ac:dyDescent="0.45">
      <c r="A87" t="s">
        <v>225</v>
      </c>
      <c r="B87" t="s">
        <v>61</v>
      </c>
      <c r="C87">
        <v>28</v>
      </c>
      <c r="D87" t="s">
        <v>10</v>
      </c>
      <c r="E87" t="s">
        <v>98</v>
      </c>
      <c r="F87">
        <v>34511</v>
      </c>
      <c r="G87" t="s">
        <v>12</v>
      </c>
      <c r="H87" t="s">
        <v>18</v>
      </c>
      <c r="I87" t="str">
        <f t="shared" si="6"/>
        <v>26-30</v>
      </c>
      <c r="J87" t="str">
        <f t="shared" si="7"/>
        <v>02</v>
      </c>
      <c r="K87" s="9" t="str">
        <f t="shared" si="8"/>
        <v>Standard</v>
      </c>
    </row>
    <row r="88" spans="1:11" x14ac:dyDescent="0.45">
      <c r="A88" t="s">
        <v>226</v>
      </c>
      <c r="B88" t="s">
        <v>23</v>
      </c>
      <c r="C88">
        <v>24</v>
      </c>
      <c r="D88" t="s">
        <v>10</v>
      </c>
      <c r="E88" t="s">
        <v>98</v>
      </c>
      <c r="F88">
        <v>34107</v>
      </c>
      <c r="G88" t="s">
        <v>227</v>
      </c>
      <c r="H88" t="s">
        <v>18</v>
      </c>
      <c r="I88" t="str">
        <f t="shared" si="6"/>
        <v>21-25</v>
      </c>
      <c r="J88" t="str">
        <f t="shared" si="7"/>
        <v>04</v>
      </c>
      <c r="K88" s="9" t="str">
        <f t="shared" si="8"/>
        <v>Standard</v>
      </c>
    </row>
    <row r="89" spans="1:11" x14ac:dyDescent="0.45">
      <c r="A89" t="s">
        <v>228</v>
      </c>
      <c r="B89" t="s">
        <v>73</v>
      </c>
      <c r="C89">
        <v>23</v>
      </c>
      <c r="D89" t="s">
        <v>10</v>
      </c>
      <c r="E89" t="s">
        <v>98</v>
      </c>
      <c r="F89">
        <v>34041</v>
      </c>
      <c r="G89" t="s">
        <v>229</v>
      </c>
      <c r="H89" t="s">
        <v>18</v>
      </c>
      <c r="I89" t="str">
        <f t="shared" si="6"/>
        <v>21-25</v>
      </c>
      <c r="J89" t="str">
        <f t="shared" si="7"/>
        <v>03</v>
      </c>
      <c r="K89" s="9" t="str">
        <f t="shared" si="8"/>
        <v>Standard</v>
      </c>
    </row>
    <row r="90" spans="1:11" x14ac:dyDescent="0.45">
      <c r="A90" t="s">
        <v>230</v>
      </c>
      <c r="B90" t="s">
        <v>64</v>
      </c>
      <c r="C90">
        <v>30</v>
      </c>
      <c r="D90" t="s">
        <v>16</v>
      </c>
      <c r="E90" t="s">
        <v>98</v>
      </c>
      <c r="F90">
        <v>33605</v>
      </c>
      <c r="G90" t="s">
        <v>81</v>
      </c>
      <c r="H90" t="s">
        <v>18</v>
      </c>
      <c r="I90" t="str">
        <f t="shared" si="6"/>
        <v>26-30</v>
      </c>
      <c r="J90" t="str">
        <f t="shared" si="7"/>
        <v>06</v>
      </c>
      <c r="K90" s="9" t="str">
        <f t="shared" si="8"/>
        <v>Standard</v>
      </c>
    </row>
    <row r="91" spans="1:11" x14ac:dyDescent="0.45">
      <c r="A91" t="s">
        <v>231</v>
      </c>
      <c r="B91" t="s">
        <v>136</v>
      </c>
      <c r="C91">
        <v>43</v>
      </c>
      <c r="D91" t="s">
        <v>10</v>
      </c>
      <c r="E91" t="s">
        <v>98</v>
      </c>
      <c r="F91">
        <v>33309</v>
      </c>
      <c r="G91" t="s">
        <v>171</v>
      </c>
      <c r="H91" t="s">
        <v>18</v>
      </c>
      <c r="I91" t="str">
        <f t="shared" si="6"/>
        <v>41-45</v>
      </c>
      <c r="J91" t="str">
        <f t="shared" si="7"/>
        <v>06</v>
      </c>
      <c r="K91" s="9" t="str">
        <f t="shared" si="8"/>
        <v>Standard</v>
      </c>
    </row>
    <row r="92" spans="1:11" x14ac:dyDescent="0.45">
      <c r="A92" t="s">
        <v>232</v>
      </c>
      <c r="B92" t="s">
        <v>28</v>
      </c>
      <c r="C92">
        <v>28</v>
      </c>
      <c r="D92" t="s">
        <v>10</v>
      </c>
      <c r="E92" t="s">
        <v>98</v>
      </c>
      <c r="F92">
        <v>32850</v>
      </c>
      <c r="G92" t="s">
        <v>233</v>
      </c>
      <c r="H92" t="s">
        <v>18</v>
      </c>
      <c r="I92" t="str">
        <f t="shared" si="6"/>
        <v>26-30</v>
      </c>
      <c r="J92" t="str">
        <f t="shared" si="7"/>
        <v>06</v>
      </c>
      <c r="K92" s="9" t="str">
        <f t="shared" si="8"/>
        <v>Standard</v>
      </c>
    </row>
    <row r="93" spans="1:11" x14ac:dyDescent="0.45">
      <c r="A93" t="s">
        <v>234</v>
      </c>
      <c r="B93" t="s">
        <v>37</v>
      </c>
      <c r="C93">
        <v>21</v>
      </c>
      <c r="D93" t="s">
        <v>16</v>
      </c>
      <c r="E93" t="s">
        <v>98</v>
      </c>
      <c r="F93">
        <v>32638</v>
      </c>
      <c r="G93" t="s">
        <v>235</v>
      </c>
      <c r="H93" t="s">
        <v>18</v>
      </c>
      <c r="I93" t="str">
        <f t="shared" si="6"/>
        <v>21-25</v>
      </c>
      <c r="J93" t="str">
        <f t="shared" si="7"/>
        <v>03</v>
      </c>
      <c r="K93" s="9" t="str">
        <f t="shared" si="8"/>
        <v>Standard</v>
      </c>
    </row>
    <row r="94" spans="1:11" x14ac:dyDescent="0.45">
      <c r="A94" t="s">
        <v>236</v>
      </c>
      <c r="B94" t="s">
        <v>34</v>
      </c>
      <c r="C94">
        <v>26</v>
      </c>
      <c r="D94" t="s">
        <v>10</v>
      </c>
      <c r="E94" t="s">
        <v>98</v>
      </c>
      <c r="F94">
        <v>32496</v>
      </c>
      <c r="G94" t="s">
        <v>56</v>
      </c>
      <c r="H94" t="s">
        <v>18</v>
      </c>
      <c r="I94" t="str">
        <f t="shared" si="6"/>
        <v>26-30</v>
      </c>
      <c r="J94" t="str">
        <f t="shared" si="7"/>
        <v>04</v>
      </c>
      <c r="K94" s="9" t="str">
        <f t="shared" si="8"/>
        <v>Standard</v>
      </c>
    </row>
    <row r="95" spans="1:11" x14ac:dyDescent="0.45">
      <c r="A95" t="s">
        <v>237</v>
      </c>
      <c r="B95" t="s">
        <v>37</v>
      </c>
      <c r="C95">
        <v>22</v>
      </c>
      <c r="D95" t="s">
        <v>16</v>
      </c>
      <c r="E95" t="s">
        <v>98</v>
      </c>
      <c r="F95">
        <v>30819</v>
      </c>
      <c r="G95" t="s">
        <v>146</v>
      </c>
      <c r="H95" t="s">
        <v>18</v>
      </c>
      <c r="I95" t="str">
        <f t="shared" si="6"/>
        <v>21-25</v>
      </c>
      <c r="J95" t="str">
        <f t="shared" si="7"/>
        <v>02</v>
      </c>
      <c r="K95" s="9" t="str">
        <f t="shared" si="8"/>
        <v>Standard</v>
      </c>
    </row>
    <row r="96" spans="1:11" x14ac:dyDescent="0.45">
      <c r="A96" t="s">
        <v>238</v>
      </c>
      <c r="B96" t="s">
        <v>70</v>
      </c>
      <c r="C96">
        <v>50</v>
      </c>
      <c r="D96" t="s">
        <v>10</v>
      </c>
      <c r="E96" t="s">
        <v>98</v>
      </c>
      <c r="F96">
        <v>30752</v>
      </c>
      <c r="G96" t="s">
        <v>94</v>
      </c>
      <c r="H96" t="s">
        <v>13</v>
      </c>
      <c r="I96" t="str">
        <f t="shared" si="6"/>
        <v>46-50</v>
      </c>
      <c r="J96" t="str">
        <f t="shared" si="7"/>
        <v>02</v>
      </c>
      <c r="K96" s="9" t="str">
        <f t="shared" si="8"/>
        <v>Standard</v>
      </c>
    </row>
    <row r="97" spans="1:11" x14ac:dyDescent="0.45">
      <c r="A97" t="s">
        <v>239</v>
      </c>
      <c r="B97" t="s">
        <v>58</v>
      </c>
      <c r="C97">
        <v>37</v>
      </c>
      <c r="D97" t="s">
        <v>16</v>
      </c>
      <c r="E97" t="s">
        <v>98</v>
      </c>
      <c r="F97">
        <v>30451</v>
      </c>
      <c r="G97" t="s">
        <v>54</v>
      </c>
      <c r="H97" t="s">
        <v>18</v>
      </c>
      <c r="I97" t="str">
        <f t="shared" si="6"/>
        <v>36-40</v>
      </c>
      <c r="J97" t="str">
        <f t="shared" si="7"/>
        <v>04</v>
      </c>
      <c r="K97" s="9" t="str">
        <f t="shared" si="8"/>
        <v>Standard</v>
      </c>
    </row>
    <row r="98" spans="1:11" x14ac:dyDescent="0.45">
      <c r="A98" t="s">
        <v>240</v>
      </c>
      <c r="B98" t="s">
        <v>53</v>
      </c>
      <c r="C98">
        <v>27</v>
      </c>
      <c r="D98" t="s">
        <v>16</v>
      </c>
      <c r="E98" t="s">
        <v>98</v>
      </c>
      <c r="F98">
        <v>29381</v>
      </c>
      <c r="G98" t="s">
        <v>241</v>
      </c>
      <c r="H98" t="s">
        <v>18</v>
      </c>
      <c r="I98" t="str">
        <f t="shared" ref="I98:I129" si="9">IF(C98&lt;=25,"21-25",IF(C98&lt;=30,"26-30",IF(C98&lt;=35,"31-35",IF(C98&lt;=40,"36-40",IF(C98&lt;=45,"41-45","46-50")))))</f>
        <v>26-30</v>
      </c>
      <c r="J98" t="str">
        <f t="shared" ref="J98:J129" si="10">MID(G98,4,2)</f>
        <v>02</v>
      </c>
      <c r="K98" s="9" t="str">
        <f t="shared" ref="K98:K129" si="11">IF(F98&lt;30000,"Budget",IF(F98&lt;=50000,"Standard","Premium"))</f>
        <v>Budget</v>
      </c>
    </row>
    <row r="99" spans="1:11" x14ac:dyDescent="0.45">
      <c r="A99" t="s">
        <v>242</v>
      </c>
      <c r="B99" t="s">
        <v>40</v>
      </c>
      <c r="C99">
        <v>31</v>
      </c>
      <c r="D99" t="s">
        <v>10</v>
      </c>
      <c r="E99" t="s">
        <v>98</v>
      </c>
      <c r="F99">
        <v>29151</v>
      </c>
      <c r="G99" t="s">
        <v>35</v>
      </c>
      <c r="H99" t="s">
        <v>13</v>
      </c>
      <c r="I99" t="str">
        <f t="shared" si="9"/>
        <v>31-35</v>
      </c>
      <c r="J99" t="str">
        <f t="shared" si="10"/>
        <v>04</v>
      </c>
      <c r="K99" s="9" t="str">
        <f t="shared" si="11"/>
        <v>Budget</v>
      </c>
    </row>
    <row r="100" spans="1:11" x14ac:dyDescent="0.45">
      <c r="A100" t="s">
        <v>243</v>
      </c>
      <c r="B100" t="s">
        <v>136</v>
      </c>
      <c r="C100">
        <v>49</v>
      </c>
      <c r="D100" t="s">
        <v>10</v>
      </c>
      <c r="E100" t="s">
        <v>98</v>
      </c>
      <c r="F100">
        <v>29119</v>
      </c>
      <c r="G100" t="s">
        <v>26</v>
      </c>
      <c r="H100" t="s">
        <v>18</v>
      </c>
      <c r="I100" t="str">
        <f t="shared" si="9"/>
        <v>46-50</v>
      </c>
      <c r="J100" t="str">
        <f t="shared" si="10"/>
        <v>03</v>
      </c>
      <c r="K100" s="9" t="str">
        <f t="shared" si="11"/>
        <v>Budget</v>
      </c>
    </row>
    <row r="101" spans="1:11" x14ac:dyDescent="0.45">
      <c r="A101" t="s">
        <v>244</v>
      </c>
      <c r="B101" t="s">
        <v>31</v>
      </c>
      <c r="C101">
        <v>44</v>
      </c>
      <c r="D101" t="s">
        <v>10</v>
      </c>
      <c r="E101" t="s">
        <v>98</v>
      </c>
      <c r="F101">
        <v>28266</v>
      </c>
      <c r="G101" t="s">
        <v>245</v>
      </c>
      <c r="H101" t="s">
        <v>18</v>
      </c>
      <c r="I101" t="str">
        <f t="shared" si="9"/>
        <v>41-45</v>
      </c>
      <c r="J101" t="str">
        <f t="shared" si="10"/>
        <v>06</v>
      </c>
      <c r="K101" s="9" t="str">
        <f t="shared" si="11"/>
        <v>Budget</v>
      </c>
    </row>
    <row r="102" spans="1:11" x14ac:dyDescent="0.45">
      <c r="A102" t="s">
        <v>246</v>
      </c>
      <c r="B102" t="s">
        <v>58</v>
      </c>
      <c r="C102">
        <v>30</v>
      </c>
      <c r="D102" t="s">
        <v>16</v>
      </c>
      <c r="E102" t="s">
        <v>98</v>
      </c>
      <c r="F102">
        <v>27845</v>
      </c>
      <c r="G102" t="s">
        <v>59</v>
      </c>
      <c r="H102" t="s">
        <v>18</v>
      </c>
      <c r="I102" t="str">
        <f t="shared" si="9"/>
        <v>26-30</v>
      </c>
      <c r="J102" t="str">
        <f t="shared" si="10"/>
        <v>01</v>
      </c>
      <c r="K102" s="9" t="str">
        <f t="shared" si="11"/>
        <v>Budget</v>
      </c>
    </row>
    <row r="103" spans="1:11" x14ac:dyDescent="0.45">
      <c r="A103" t="s">
        <v>247</v>
      </c>
      <c r="B103" t="s">
        <v>89</v>
      </c>
      <c r="C103">
        <v>24</v>
      </c>
      <c r="D103" t="s">
        <v>10</v>
      </c>
      <c r="E103" t="s">
        <v>99</v>
      </c>
      <c r="F103">
        <v>27817</v>
      </c>
      <c r="G103" t="s">
        <v>248</v>
      </c>
      <c r="H103" t="s">
        <v>13</v>
      </c>
      <c r="I103" t="str">
        <f t="shared" si="9"/>
        <v>21-25</v>
      </c>
      <c r="J103" t="str">
        <f t="shared" si="10"/>
        <v>04</v>
      </c>
      <c r="K103" s="9" t="str">
        <f t="shared" si="11"/>
        <v>Budget</v>
      </c>
    </row>
    <row r="104" spans="1:11" x14ac:dyDescent="0.45">
      <c r="A104" t="s">
        <v>249</v>
      </c>
      <c r="B104" t="s">
        <v>73</v>
      </c>
      <c r="C104">
        <v>47</v>
      </c>
      <c r="D104" t="s">
        <v>16</v>
      </c>
      <c r="E104" t="s">
        <v>98</v>
      </c>
      <c r="F104">
        <v>27720</v>
      </c>
      <c r="G104" t="s">
        <v>245</v>
      </c>
      <c r="H104" t="s">
        <v>18</v>
      </c>
      <c r="I104" t="str">
        <f t="shared" si="9"/>
        <v>46-50</v>
      </c>
      <c r="J104" t="str">
        <f t="shared" si="10"/>
        <v>06</v>
      </c>
      <c r="K104" s="9" t="str">
        <f t="shared" si="11"/>
        <v>Budget</v>
      </c>
    </row>
    <row r="105" spans="1:11" x14ac:dyDescent="0.45">
      <c r="A105" t="s">
        <v>250</v>
      </c>
      <c r="B105" t="s">
        <v>40</v>
      </c>
      <c r="C105">
        <v>49</v>
      </c>
      <c r="D105" t="s">
        <v>10</v>
      </c>
      <c r="E105" t="s">
        <v>98</v>
      </c>
      <c r="F105">
        <v>27606</v>
      </c>
      <c r="G105" t="s">
        <v>177</v>
      </c>
      <c r="H105" t="s">
        <v>18</v>
      </c>
      <c r="I105" t="str">
        <f t="shared" si="9"/>
        <v>46-50</v>
      </c>
      <c r="J105" t="str">
        <f t="shared" si="10"/>
        <v>06</v>
      </c>
      <c r="K105" s="9" t="str">
        <f t="shared" si="11"/>
        <v>Budget</v>
      </c>
    </row>
    <row r="106" spans="1:11" x14ac:dyDescent="0.45">
      <c r="A106" t="s">
        <v>251</v>
      </c>
      <c r="B106" t="s">
        <v>61</v>
      </c>
      <c r="C106">
        <v>30</v>
      </c>
      <c r="D106" t="s">
        <v>10</v>
      </c>
      <c r="E106" t="s">
        <v>99</v>
      </c>
      <c r="F106">
        <v>27543</v>
      </c>
      <c r="G106" t="s">
        <v>229</v>
      </c>
      <c r="H106" t="s">
        <v>13</v>
      </c>
      <c r="I106" t="str">
        <f t="shared" si="9"/>
        <v>26-30</v>
      </c>
      <c r="J106" t="str">
        <f t="shared" si="10"/>
        <v>03</v>
      </c>
      <c r="K106" s="9" t="str">
        <f t="shared" si="11"/>
        <v>Budget</v>
      </c>
    </row>
    <row r="107" spans="1:11" x14ac:dyDescent="0.45">
      <c r="A107" t="s">
        <v>252</v>
      </c>
      <c r="B107" t="s">
        <v>136</v>
      </c>
      <c r="C107">
        <v>42</v>
      </c>
      <c r="D107" t="s">
        <v>10</v>
      </c>
      <c r="E107" t="s">
        <v>99</v>
      </c>
      <c r="F107">
        <v>27364</v>
      </c>
      <c r="G107" t="s">
        <v>253</v>
      </c>
      <c r="H107" t="s">
        <v>18</v>
      </c>
      <c r="I107" t="str">
        <f t="shared" si="9"/>
        <v>41-45</v>
      </c>
      <c r="J107" t="str">
        <f t="shared" si="10"/>
        <v>05</v>
      </c>
      <c r="K107" s="9" t="str">
        <f t="shared" si="11"/>
        <v>Budget</v>
      </c>
    </row>
    <row r="108" spans="1:11" x14ac:dyDescent="0.45">
      <c r="A108" t="s">
        <v>254</v>
      </c>
      <c r="B108" t="s">
        <v>70</v>
      </c>
      <c r="C108">
        <v>42</v>
      </c>
      <c r="D108" t="s">
        <v>16</v>
      </c>
      <c r="E108" t="s">
        <v>98</v>
      </c>
      <c r="F108">
        <v>26722</v>
      </c>
      <c r="G108" t="s">
        <v>241</v>
      </c>
      <c r="H108" t="s">
        <v>18</v>
      </c>
      <c r="I108" t="str">
        <f t="shared" si="9"/>
        <v>41-45</v>
      </c>
      <c r="J108" t="str">
        <f t="shared" si="10"/>
        <v>02</v>
      </c>
      <c r="K108" s="9" t="str">
        <f t="shared" si="11"/>
        <v>Budget</v>
      </c>
    </row>
    <row r="109" spans="1:11" x14ac:dyDescent="0.45">
      <c r="A109" t="s">
        <v>255</v>
      </c>
      <c r="B109" t="s">
        <v>64</v>
      </c>
      <c r="C109">
        <v>48</v>
      </c>
      <c r="D109" t="s">
        <v>16</v>
      </c>
      <c r="E109" t="s">
        <v>98</v>
      </c>
      <c r="F109">
        <v>26581</v>
      </c>
      <c r="G109" t="s">
        <v>186</v>
      </c>
      <c r="H109" t="s">
        <v>18</v>
      </c>
      <c r="I109" t="str">
        <f t="shared" si="9"/>
        <v>46-50</v>
      </c>
      <c r="J109" t="str">
        <f t="shared" si="10"/>
        <v>04</v>
      </c>
      <c r="K109" s="9" t="str">
        <f t="shared" si="11"/>
        <v>Budget</v>
      </c>
    </row>
    <row r="110" spans="1:11" x14ac:dyDescent="0.45">
      <c r="A110" t="s">
        <v>256</v>
      </c>
      <c r="B110" t="s">
        <v>31</v>
      </c>
      <c r="C110">
        <v>47</v>
      </c>
      <c r="D110" t="s">
        <v>10</v>
      </c>
      <c r="E110" t="s">
        <v>99</v>
      </c>
      <c r="F110">
        <v>26550</v>
      </c>
      <c r="G110" t="s">
        <v>233</v>
      </c>
      <c r="H110" t="s">
        <v>13</v>
      </c>
      <c r="I110" t="str">
        <f t="shared" si="9"/>
        <v>46-50</v>
      </c>
      <c r="J110" t="str">
        <f t="shared" si="10"/>
        <v>06</v>
      </c>
      <c r="K110" s="9" t="str">
        <f t="shared" si="11"/>
        <v>Budget</v>
      </c>
    </row>
    <row r="111" spans="1:11" x14ac:dyDescent="0.45">
      <c r="A111" t="s">
        <v>257</v>
      </c>
      <c r="B111" t="s">
        <v>70</v>
      </c>
      <c r="C111">
        <v>43</v>
      </c>
      <c r="D111" t="s">
        <v>16</v>
      </c>
      <c r="E111" t="s">
        <v>98</v>
      </c>
      <c r="F111">
        <v>26490</v>
      </c>
      <c r="G111" t="s">
        <v>163</v>
      </c>
      <c r="H111" t="s">
        <v>18</v>
      </c>
      <c r="I111" t="str">
        <f t="shared" si="9"/>
        <v>41-45</v>
      </c>
      <c r="J111" t="str">
        <f t="shared" si="10"/>
        <v>01</v>
      </c>
      <c r="K111" s="9" t="str">
        <f t="shared" si="11"/>
        <v>Budget</v>
      </c>
    </row>
    <row r="112" spans="1:11" x14ac:dyDescent="0.45">
      <c r="A112" t="s">
        <v>258</v>
      </c>
      <c r="B112" t="s">
        <v>31</v>
      </c>
      <c r="C112">
        <v>25</v>
      </c>
      <c r="D112" t="s">
        <v>10</v>
      </c>
      <c r="E112" t="s">
        <v>98</v>
      </c>
      <c r="F112">
        <v>26325</v>
      </c>
      <c r="G112" t="s">
        <v>259</v>
      </c>
      <c r="H112" t="s">
        <v>18</v>
      </c>
      <c r="I112" t="str">
        <f t="shared" si="9"/>
        <v>21-25</v>
      </c>
      <c r="J112" t="str">
        <f t="shared" si="10"/>
        <v>05</v>
      </c>
      <c r="K112" s="9" t="str">
        <f t="shared" si="11"/>
        <v>Budget</v>
      </c>
    </row>
    <row r="113" spans="1:11" x14ac:dyDescent="0.45">
      <c r="A113" t="s">
        <v>260</v>
      </c>
      <c r="B113" t="s">
        <v>58</v>
      </c>
      <c r="C113">
        <v>49</v>
      </c>
      <c r="D113" t="s">
        <v>16</v>
      </c>
      <c r="E113" t="s">
        <v>98</v>
      </c>
      <c r="F113">
        <v>25469</v>
      </c>
      <c r="G113" t="s">
        <v>261</v>
      </c>
      <c r="H113" t="s">
        <v>18</v>
      </c>
      <c r="I113" t="str">
        <f t="shared" si="9"/>
        <v>46-50</v>
      </c>
      <c r="J113" t="str">
        <f t="shared" si="10"/>
        <v>01</v>
      </c>
      <c r="K113" s="9" t="str">
        <f t="shared" si="11"/>
        <v>Budget</v>
      </c>
    </row>
    <row r="114" spans="1:11" x14ac:dyDescent="0.45">
      <c r="A114" t="s">
        <v>262</v>
      </c>
      <c r="B114" t="s">
        <v>58</v>
      </c>
      <c r="C114">
        <v>30</v>
      </c>
      <c r="D114" t="s">
        <v>10</v>
      </c>
      <c r="E114" t="s">
        <v>99</v>
      </c>
      <c r="F114">
        <v>25383</v>
      </c>
      <c r="G114" t="s">
        <v>263</v>
      </c>
      <c r="H114" t="s">
        <v>13</v>
      </c>
      <c r="I114" t="str">
        <f t="shared" si="9"/>
        <v>26-30</v>
      </c>
      <c r="J114" t="str">
        <f t="shared" si="10"/>
        <v>05</v>
      </c>
      <c r="K114" s="9" t="str">
        <f t="shared" si="11"/>
        <v>Budget</v>
      </c>
    </row>
    <row r="115" spans="1:11" x14ac:dyDescent="0.45">
      <c r="A115" t="s">
        <v>264</v>
      </c>
      <c r="B115" t="s">
        <v>61</v>
      </c>
      <c r="C115">
        <v>22</v>
      </c>
      <c r="D115" t="s">
        <v>16</v>
      </c>
      <c r="E115" t="s">
        <v>99</v>
      </c>
      <c r="F115">
        <v>24710</v>
      </c>
      <c r="G115" t="s">
        <v>265</v>
      </c>
      <c r="H115" t="s">
        <v>18</v>
      </c>
      <c r="I115" t="str">
        <f t="shared" si="9"/>
        <v>21-25</v>
      </c>
      <c r="J115" t="str">
        <f t="shared" si="10"/>
        <v>06</v>
      </c>
      <c r="K115" s="9" t="str">
        <f t="shared" si="11"/>
        <v>Budget</v>
      </c>
    </row>
    <row r="116" spans="1:11" x14ac:dyDescent="0.45">
      <c r="A116" t="s">
        <v>266</v>
      </c>
      <c r="B116" t="s">
        <v>45</v>
      </c>
      <c r="C116">
        <v>21</v>
      </c>
      <c r="D116" t="s">
        <v>10</v>
      </c>
      <c r="E116" t="s">
        <v>100</v>
      </c>
      <c r="F116">
        <v>24707</v>
      </c>
      <c r="G116" t="s">
        <v>229</v>
      </c>
      <c r="H116" t="s">
        <v>18</v>
      </c>
      <c r="I116" t="str">
        <f t="shared" si="9"/>
        <v>21-25</v>
      </c>
      <c r="J116" t="str">
        <f t="shared" si="10"/>
        <v>03</v>
      </c>
      <c r="K116" s="9" t="str">
        <f t="shared" si="11"/>
        <v>Budget</v>
      </c>
    </row>
    <row r="117" spans="1:11" x14ac:dyDescent="0.45">
      <c r="A117" t="s">
        <v>267</v>
      </c>
      <c r="B117" t="s">
        <v>28</v>
      </c>
      <c r="C117">
        <v>30</v>
      </c>
      <c r="D117" t="s">
        <v>10</v>
      </c>
      <c r="E117" t="s">
        <v>100</v>
      </c>
      <c r="F117">
        <v>24514</v>
      </c>
      <c r="G117" t="s">
        <v>268</v>
      </c>
      <c r="H117" t="s">
        <v>18</v>
      </c>
      <c r="I117" t="str">
        <f t="shared" si="9"/>
        <v>26-30</v>
      </c>
      <c r="J117" t="str">
        <f t="shared" si="10"/>
        <v>05</v>
      </c>
      <c r="K117" s="9" t="str">
        <f t="shared" si="11"/>
        <v>Budget</v>
      </c>
    </row>
    <row r="118" spans="1:11" x14ac:dyDescent="0.45">
      <c r="A118" t="s">
        <v>269</v>
      </c>
      <c r="B118" t="s">
        <v>70</v>
      </c>
      <c r="C118">
        <v>40</v>
      </c>
      <c r="D118" t="s">
        <v>16</v>
      </c>
      <c r="E118" t="s">
        <v>99</v>
      </c>
      <c r="F118">
        <v>24258</v>
      </c>
      <c r="G118" t="s">
        <v>270</v>
      </c>
      <c r="H118" t="s">
        <v>18</v>
      </c>
      <c r="I118" t="str">
        <f t="shared" si="9"/>
        <v>36-40</v>
      </c>
      <c r="J118" t="str">
        <f t="shared" si="10"/>
        <v>03</v>
      </c>
      <c r="K118" s="9" t="str">
        <f t="shared" si="11"/>
        <v>Budget</v>
      </c>
    </row>
    <row r="119" spans="1:11" x14ac:dyDescent="0.45">
      <c r="A119" t="s">
        <v>271</v>
      </c>
      <c r="B119" t="s">
        <v>34</v>
      </c>
      <c r="C119">
        <v>39</v>
      </c>
      <c r="D119" t="s">
        <v>10</v>
      </c>
      <c r="E119" t="s">
        <v>100</v>
      </c>
      <c r="F119">
        <v>24132</v>
      </c>
      <c r="G119" t="s">
        <v>137</v>
      </c>
      <c r="H119" t="s">
        <v>18</v>
      </c>
      <c r="I119" t="str">
        <f t="shared" si="9"/>
        <v>36-40</v>
      </c>
      <c r="J119" t="str">
        <f t="shared" si="10"/>
        <v>05</v>
      </c>
      <c r="K119" s="9" t="str">
        <f t="shared" si="11"/>
        <v>Budget</v>
      </c>
    </row>
    <row r="120" spans="1:11" x14ac:dyDescent="0.45">
      <c r="A120" t="s">
        <v>272</v>
      </c>
      <c r="B120" t="s">
        <v>23</v>
      </c>
      <c r="C120">
        <v>34</v>
      </c>
      <c r="D120" t="s">
        <v>10</v>
      </c>
      <c r="E120" t="s">
        <v>100</v>
      </c>
      <c r="F120">
        <v>24065</v>
      </c>
      <c r="G120" t="s">
        <v>273</v>
      </c>
      <c r="H120" t="s">
        <v>13</v>
      </c>
      <c r="I120" t="str">
        <f t="shared" si="9"/>
        <v>31-35</v>
      </c>
      <c r="J120" t="str">
        <f t="shared" si="10"/>
        <v>02</v>
      </c>
      <c r="K120" s="9" t="str">
        <f t="shared" si="11"/>
        <v>Budget</v>
      </c>
    </row>
    <row r="121" spans="1:11" x14ac:dyDescent="0.45">
      <c r="A121" t="s">
        <v>274</v>
      </c>
      <c r="B121" t="s">
        <v>31</v>
      </c>
      <c r="C121">
        <v>40</v>
      </c>
      <c r="D121" t="s">
        <v>10</v>
      </c>
      <c r="E121" t="s">
        <v>100</v>
      </c>
      <c r="F121">
        <v>24026</v>
      </c>
      <c r="G121" t="s">
        <v>275</v>
      </c>
      <c r="H121" t="s">
        <v>13</v>
      </c>
      <c r="I121" t="str">
        <f t="shared" si="9"/>
        <v>36-40</v>
      </c>
      <c r="J121" t="str">
        <f t="shared" si="10"/>
        <v>06</v>
      </c>
      <c r="K121" s="9" t="str">
        <f t="shared" si="11"/>
        <v>Budget</v>
      </c>
    </row>
    <row r="122" spans="1:11" x14ac:dyDescent="0.45">
      <c r="A122" t="s">
        <v>276</v>
      </c>
      <c r="B122" t="s">
        <v>53</v>
      </c>
      <c r="C122">
        <v>39</v>
      </c>
      <c r="D122" t="s">
        <v>16</v>
      </c>
      <c r="E122" t="s">
        <v>100</v>
      </c>
      <c r="F122">
        <v>23867</v>
      </c>
      <c r="G122" t="s">
        <v>277</v>
      </c>
      <c r="H122" t="s">
        <v>18</v>
      </c>
      <c r="I122" t="str">
        <f t="shared" si="9"/>
        <v>36-40</v>
      </c>
      <c r="J122" t="str">
        <f t="shared" si="10"/>
        <v>02</v>
      </c>
      <c r="K122" s="9" t="str">
        <f t="shared" si="11"/>
        <v>Budget</v>
      </c>
    </row>
    <row r="123" spans="1:11" x14ac:dyDescent="0.45">
      <c r="A123" t="s">
        <v>278</v>
      </c>
      <c r="B123" t="s">
        <v>70</v>
      </c>
      <c r="C123">
        <v>25</v>
      </c>
      <c r="D123" t="s">
        <v>10</v>
      </c>
      <c r="E123" t="s">
        <v>99</v>
      </c>
      <c r="F123">
        <v>23848</v>
      </c>
      <c r="G123" t="s">
        <v>279</v>
      </c>
      <c r="H123" t="s">
        <v>18</v>
      </c>
      <c r="I123" t="str">
        <f t="shared" si="9"/>
        <v>21-25</v>
      </c>
      <c r="J123" t="str">
        <f t="shared" si="10"/>
        <v>05</v>
      </c>
      <c r="K123" s="9" t="str">
        <f t="shared" si="11"/>
        <v>Budget</v>
      </c>
    </row>
    <row r="124" spans="1:11" x14ac:dyDescent="0.45">
      <c r="A124" t="s">
        <v>280</v>
      </c>
      <c r="B124" t="s">
        <v>9</v>
      </c>
      <c r="C124">
        <v>23</v>
      </c>
      <c r="D124" t="s">
        <v>16</v>
      </c>
      <c r="E124" t="s">
        <v>99</v>
      </c>
      <c r="F124">
        <v>23528</v>
      </c>
      <c r="G124" t="s">
        <v>144</v>
      </c>
      <c r="H124" t="s">
        <v>18</v>
      </c>
      <c r="I124" t="str">
        <f t="shared" si="9"/>
        <v>21-25</v>
      </c>
      <c r="J124" t="str">
        <f t="shared" si="10"/>
        <v>04</v>
      </c>
      <c r="K124" s="9" t="str">
        <f t="shared" si="11"/>
        <v>Budget</v>
      </c>
    </row>
    <row r="125" spans="1:11" x14ac:dyDescent="0.45">
      <c r="A125" t="s">
        <v>281</v>
      </c>
      <c r="B125" t="s">
        <v>76</v>
      </c>
      <c r="C125">
        <v>24</v>
      </c>
      <c r="D125" t="s">
        <v>16</v>
      </c>
      <c r="E125" t="s">
        <v>100</v>
      </c>
      <c r="F125">
        <v>23320</v>
      </c>
      <c r="G125" t="s">
        <v>137</v>
      </c>
      <c r="H125" t="s">
        <v>18</v>
      </c>
      <c r="I125" t="str">
        <f t="shared" si="9"/>
        <v>21-25</v>
      </c>
      <c r="J125" t="str">
        <f t="shared" si="10"/>
        <v>05</v>
      </c>
      <c r="K125" s="9" t="str">
        <f t="shared" si="11"/>
        <v>Budget</v>
      </c>
    </row>
    <row r="126" spans="1:11" x14ac:dyDescent="0.45">
      <c r="A126" t="s">
        <v>282</v>
      </c>
      <c r="B126" t="s">
        <v>28</v>
      </c>
      <c r="C126">
        <v>37</v>
      </c>
      <c r="D126" t="s">
        <v>16</v>
      </c>
      <c r="E126" t="s">
        <v>100</v>
      </c>
      <c r="F126">
        <v>23099</v>
      </c>
      <c r="G126" t="s">
        <v>283</v>
      </c>
      <c r="H126" t="s">
        <v>18</v>
      </c>
      <c r="I126" t="str">
        <f t="shared" si="9"/>
        <v>36-40</v>
      </c>
      <c r="J126" t="str">
        <f t="shared" si="10"/>
        <v>04</v>
      </c>
      <c r="K126" s="9" t="str">
        <f t="shared" si="11"/>
        <v>Budget</v>
      </c>
    </row>
    <row r="127" spans="1:11" x14ac:dyDescent="0.45">
      <c r="A127" t="s">
        <v>284</v>
      </c>
      <c r="B127" t="s">
        <v>58</v>
      </c>
      <c r="C127">
        <v>47</v>
      </c>
      <c r="D127" t="s">
        <v>10</v>
      </c>
      <c r="E127" t="s">
        <v>99</v>
      </c>
      <c r="F127">
        <v>22925</v>
      </c>
      <c r="G127" t="s">
        <v>203</v>
      </c>
      <c r="H127" t="s">
        <v>13</v>
      </c>
      <c r="I127" t="str">
        <f t="shared" si="9"/>
        <v>46-50</v>
      </c>
      <c r="J127" t="str">
        <f t="shared" si="10"/>
        <v>04</v>
      </c>
      <c r="K127" s="9" t="str">
        <f t="shared" si="11"/>
        <v>Budget</v>
      </c>
    </row>
    <row r="128" spans="1:11" x14ac:dyDescent="0.45">
      <c r="A128" t="s">
        <v>285</v>
      </c>
      <c r="B128" t="s">
        <v>50</v>
      </c>
      <c r="C128">
        <v>24</v>
      </c>
      <c r="D128" t="s">
        <v>10</v>
      </c>
      <c r="E128" t="s">
        <v>100</v>
      </c>
      <c r="F128">
        <v>22891</v>
      </c>
      <c r="G128" t="s">
        <v>286</v>
      </c>
      <c r="H128" t="s">
        <v>13</v>
      </c>
      <c r="I128" t="str">
        <f t="shared" si="9"/>
        <v>21-25</v>
      </c>
      <c r="J128" t="str">
        <f t="shared" si="10"/>
        <v>02</v>
      </c>
      <c r="K128" s="9" t="str">
        <f t="shared" si="11"/>
        <v>Budget</v>
      </c>
    </row>
    <row r="129" spans="1:11" x14ac:dyDescent="0.45">
      <c r="A129" t="s">
        <v>287</v>
      </c>
      <c r="B129" t="s">
        <v>45</v>
      </c>
      <c r="C129">
        <v>37</v>
      </c>
      <c r="D129" t="s">
        <v>10</v>
      </c>
      <c r="E129" t="s">
        <v>99</v>
      </c>
      <c r="F129">
        <v>22509</v>
      </c>
      <c r="G129" t="s">
        <v>263</v>
      </c>
      <c r="H129" t="s">
        <v>13</v>
      </c>
      <c r="I129" t="str">
        <f t="shared" si="9"/>
        <v>36-40</v>
      </c>
      <c r="J129" t="str">
        <f t="shared" si="10"/>
        <v>05</v>
      </c>
      <c r="K129" s="9" t="str">
        <f t="shared" si="11"/>
        <v>Budget</v>
      </c>
    </row>
    <row r="130" spans="1:11" x14ac:dyDescent="0.45">
      <c r="A130" t="s">
        <v>288</v>
      </c>
      <c r="B130" t="s">
        <v>58</v>
      </c>
      <c r="C130">
        <v>30</v>
      </c>
      <c r="D130" t="s">
        <v>16</v>
      </c>
      <c r="E130" t="s">
        <v>99</v>
      </c>
      <c r="F130">
        <v>22495</v>
      </c>
      <c r="G130" t="s">
        <v>279</v>
      </c>
      <c r="H130" t="s">
        <v>18</v>
      </c>
      <c r="I130" t="str">
        <f t="shared" ref="I130:I161" si="12">IF(C130&lt;=25,"21-25",IF(C130&lt;=30,"26-30",IF(C130&lt;=35,"31-35",IF(C130&lt;=40,"36-40",IF(C130&lt;=45,"41-45","46-50")))))</f>
        <v>26-30</v>
      </c>
      <c r="J130" t="str">
        <f t="shared" ref="J130:J161" si="13">MID(G130,4,2)</f>
        <v>05</v>
      </c>
      <c r="K130" s="9" t="str">
        <f t="shared" ref="K130:K161" si="14">IF(F130&lt;30000,"Budget",IF(F130&lt;=50000,"Standard","Premium"))</f>
        <v>Budget</v>
      </c>
    </row>
    <row r="131" spans="1:11" x14ac:dyDescent="0.45">
      <c r="A131" t="s">
        <v>289</v>
      </c>
      <c r="B131" t="s">
        <v>70</v>
      </c>
      <c r="C131">
        <v>47</v>
      </c>
      <c r="D131" t="s">
        <v>16</v>
      </c>
      <c r="E131" t="s">
        <v>97</v>
      </c>
      <c r="F131">
        <v>21880</v>
      </c>
      <c r="G131" t="s">
        <v>83</v>
      </c>
      <c r="H131" t="s">
        <v>18</v>
      </c>
      <c r="I131" t="str">
        <f t="shared" si="12"/>
        <v>46-50</v>
      </c>
      <c r="J131" t="str">
        <f t="shared" si="13"/>
        <v>04</v>
      </c>
      <c r="K131" s="9" t="str">
        <f t="shared" si="14"/>
        <v>Budget</v>
      </c>
    </row>
    <row r="132" spans="1:11" x14ac:dyDescent="0.45">
      <c r="A132" t="s">
        <v>290</v>
      </c>
      <c r="B132" t="s">
        <v>136</v>
      </c>
      <c r="C132">
        <v>21</v>
      </c>
      <c r="D132" t="s">
        <v>10</v>
      </c>
      <c r="E132" t="s">
        <v>100</v>
      </c>
      <c r="F132">
        <v>21669</v>
      </c>
      <c r="G132" t="s">
        <v>291</v>
      </c>
      <c r="H132" t="s">
        <v>18</v>
      </c>
      <c r="I132" t="str">
        <f t="shared" si="12"/>
        <v>21-25</v>
      </c>
      <c r="J132" t="str">
        <f t="shared" si="13"/>
        <v>05</v>
      </c>
      <c r="K132" s="9" t="str">
        <f t="shared" si="14"/>
        <v>Budget</v>
      </c>
    </row>
    <row r="133" spans="1:11" x14ac:dyDescent="0.45">
      <c r="A133" t="s">
        <v>292</v>
      </c>
      <c r="B133" t="s">
        <v>58</v>
      </c>
      <c r="C133">
        <v>44</v>
      </c>
      <c r="D133" t="s">
        <v>16</v>
      </c>
      <c r="E133" t="s">
        <v>100</v>
      </c>
      <c r="F133">
        <v>21644</v>
      </c>
      <c r="G133" t="s">
        <v>293</v>
      </c>
      <c r="H133" t="s">
        <v>18</v>
      </c>
      <c r="I133" t="str">
        <f t="shared" si="12"/>
        <v>41-45</v>
      </c>
      <c r="J133" t="str">
        <f t="shared" si="13"/>
        <v>02</v>
      </c>
      <c r="K133" s="9" t="str">
        <f t="shared" si="14"/>
        <v>Budget</v>
      </c>
    </row>
    <row r="134" spans="1:11" x14ac:dyDescent="0.45">
      <c r="A134" t="s">
        <v>294</v>
      </c>
      <c r="B134" t="s">
        <v>28</v>
      </c>
      <c r="C134">
        <v>45</v>
      </c>
      <c r="D134" t="s">
        <v>16</v>
      </c>
      <c r="E134" t="s">
        <v>100</v>
      </c>
      <c r="F134">
        <v>21509</v>
      </c>
      <c r="G134" t="s">
        <v>214</v>
      </c>
      <c r="H134" t="s">
        <v>18</v>
      </c>
      <c r="I134" t="str">
        <f t="shared" si="12"/>
        <v>41-45</v>
      </c>
      <c r="J134" t="str">
        <f t="shared" si="13"/>
        <v>05</v>
      </c>
      <c r="K134" s="9" t="str">
        <f t="shared" si="14"/>
        <v>Budget</v>
      </c>
    </row>
    <row r="135" spans="1:11" x14ac:dyDescent="0.45">
      <c r="A135" t="s">
        <v>295</v>
      </c>
      <c r="B135" t="s">
        <v>136</v>
      </c>
      <c r="C135">
        <v>42</v>
      </c>
      <c r="D135" t="s">
        <v>16</v>
      </c>
      <c r="E135" t="s">
        <v>97</v>
      </c>
      <c r="F135">
        <v>21453</v>
      </c>
      <c r="G135" t="s">
        <v>208</v>
      </c>
      <c r="H135" t="s">
        <v>18</v>
      </c>
      <c r="I135" t="str">
        <f t="shared" si="12"/>
        <v>41-45</v>
      </c>
      <c r="J135" t="str">
        <f t="shared" si="13"/>
        <v>05</v>
      </c>
      <c r="K135" s="9" t="str">
        <f t="shared" si="14"/>
        <v>Budget</v>
      </c>
    </row>
    <row r="136" spans="1:11" x14ac:dyDescent="0.45">
      <c r="A136" t="s">
        <v>296</v>
      </c>
      <c r="B136" t="s">
        <v>31</v>
      </c>
      <c r="C136">
        <v>34</v>
      </c>
      <c r="D136" t="s">
        <v>16</v>
      </c>
      <c r="E136" t="s">
        <v>100</v>
      </c>
      <c r="F136">
        <v>21410</v>
      </c>
      <c r="G136" t="s">
        <v>297</v>
      </c>
      <c r="H136" t="s">
        <v>18</v>
      </c>
      <c r="I136" t="str">
        <f t="shared" si="12"/>
        <v>31-35</v>
      </c>
      <c r="J136" t="str">
        <f t="shared" si="13"/>
        <v>03</v>
      </c>
      <c r="K136" s="9" t="str">
        <f t="shared" si="14"/>
        <v>Budget</v>
      </c>
    </row>
    <row r="137" spans="1:11" x14ac:dyDescent="0.45">
      <c r="A137" t="s">
        <v>298</v>
      </c>
      <c r="B137" t="s">
        <v>45</v>
      </c>
      <c r="C137">
        <v>33</v>
      </c>
      <c r="D137" t="s">
        <v>16</v>
      </c>
      <c r="E137" t="s">
        <v>97</v>
      </c>
      <c r="F137">
        <v>21394</v>
      </c>
      <c r="G137" t="s">
        <v>194</v>
      </c>
      <c r="H137" t="s">
        <v>18</v>
      </c>
      <c r="I137" t="str">
        <f t="shared" si="12"/>
        <v>31-35</v>
      </c>
      <c r="J137" t="str">
        <f t="shared" si="13"/>
        <v>01</v>
      </c>
      <c r="K137" s="9" t="str">
        <f t="shared" si="14"/>
        <v>Budget</v>
      </c>
    </row>
    <row r="138" spans="1:11" x14ac:dyDescent="0.45">
      <c r="A138" t="s">
        <v>299</v>
      </c>
      <c r="B138" t="s">
        <v>9</v>
      </c>
      <c r="C138">
        <v>39</v>
      </c>
      <c r="D138" t="s">
        <v>16</v>
      </c>
      <c r="E138" t="s">
        <v>100</v>
      </c>
      <c r="F138">
        <v>21283</v>
      </c>
      <c r="G138" t="s">
        <v>300</v>
      </c>
      <c r="H138" t="s">
        <v>18</v>
      </c>
      <c r="I138" t="str">
        <f t="shared" si="12"/>
        <v>36-40</v>
      </c>
      <c r="J138" t="str">
        <f t="shared" si="13"/>
        <v>01</v>
      </c>
      <c r="K138" s="9" t="str">
        <f t="shared" si="14"/>
        <v>Budget</v>
      </c>
    </row>
    <row r="139" spans="1:11" x14ac:dyDescent="0.45">
      <c r="A139" t="s">
        <v>301</v>
      </c>
      <c r="B139" t="s">
        <v>58</v>
      </c>
      <c r="C139">
        <v>41</v>
      </c>
      <c r="D139" t="s">
        <v>10</v>
      </c>
      <c r="E139" t="s">
        <v>99</v>
      </c>
      <c r="F139">
        <v>21139</v>
      </c>
      <c r="G139" t="s">
        <v>279</v>
      </c>
      <c r="H139" t="s">
        <v>18</v>
      </c>
      <c r="I139" t="str">
        <f t="shared" si="12"/>
        <v>41-45</v>
      </c>
      <c r="J139" t="str">
        <f t="shared" si="13"/>
        <v>05</v>
      </c>
      <c r="K139" s="9" t="str">
        <f t="shared" si="14"/>
        <v>Budget</v>
      </c>
    </row>
    <row r="140" spans="1:11" x14ac:dyDescent="0.45">
      <c r="A140" t="s">
        <v>302</v>
      </c>
      <c r="B140" t="s">
        <v>136</v>
      </c>
      <c r="C140">
        <v>21</v>
      </c>
      <c r="D140" t="s">
        <v>16</v>
      </c>
      <c r="E140" t="s">
        <v>100</v>
      </c>
      <c r="F140">
        <v>21134</v>
      </c>
      <c r="G140" t="s">
        <v>303</v>
      </c>
      <c r="H140" t="s">
        <v>13</v>
      </c>
      <c r="I140" t="str">
        <f t="shared" si="12"/>
        <v>21-25</v>
      </c>
      <c r="J140" t="str">
        <f t="shared" si="13"/>
        <v>03</v>
      </c>
      <c r="K140" s="9" t="str">
        <f t="shared" si="14"/>
        <v>Budget</v>
      </c>
    </row>
    <row r="141" spans="1:11" x14ac:dyDescent="0.45">
      <c r="A141" t="s">
        <v>304</v>
      </c>
      <c r="B141" t="s">
        <v>28</v>
      </c>
      <c r="C141">
        <v>26</v>
      </c>
      <c r="D141" t="s">
        <v>10</v>
      </c>
      <c r="E141" t="s">
        <v>99</v>
      </c>
      <c r="F141">
        <v>21132</v>
      </c>
      <c r="G141" t="s">
        <v>305</v>
      </c>
      <c r="H141" t="s">
        <v>18</v>
      </c>
      <c r="I141" t="str">
        <f t="shared" si="12"/>
        <v>26-30</v>
      </c>
      <c r="J141" t="str">
        <f t="shared" si="13"/>
        <v>05</v>
      </c>
      <c r="K141" s="9" t="str">
        <f t="shared" si="14"/>
        <v>Budget</v>
      </c>
    </row>
    <row r="142" spans="1:11" x14ac:dyDescent="0.45">
      <c r="A142" t="s">
        <v>306</v>
      </c>
      <c r="B142" t="s">
        <v>37</v>
      </c>
      <c r="C142">
        <v>43</v>
      </c>
      <c r="D142" t="s">
        <v>10</v>
      </c>
      <c r="E142" t="s">
        <v>100</v>
      </c>
      <c r="F142">
        <v>20825</v>
      </c>
      <c r="G142" t="s">
        <v>41</v>
      </c>
      <c r="H142" t="s">
        <v>18</v>
      </c>
      <c r="I142" t="str">
        <f t="shared" si="12"/>
        <v>41-45</v>
      </c>
      <c r="J142" t="str">
        <f t="shared" si="13"/>
        <v>05</v>
      </c>
      <c r="K142" s="9" t="str">
        <f t="shared" si="14"/>
        <v>Budget</v>
      </c>
    </row>
    <row r="143" spans="1:11" x14ac:dyDescent="0.45">
      <c r="A143" t="s">
        <v>307</v>
      </c>
      <c r="B143" t="s">
        <v>15</v>
      </c>
      <c r="C143">
        <v>24</v>
      </c>
      <c r="D143" t="s">
        <v>10</v>
      </c>
      <c r="E143" t="s">
        <v>100</v>
      </c>
      <c r="F143">
        <v>20799</v>
      </c>
      <c r="G143" t="s">
        <v>308</v>
      </c>
      <c r="H143" t="s">
        <v>18</v>
      </c>
      <c r="I143" t="str">
        <f t="shared" si="12"/>
        <v>21-25</v>
      </c>
      <c r="J143" t="str">
        <f t="shared" si="13"/>
        <v>04</v>
      </c>
      <c r="K143" s="9" t="str">
        <f t="shared" si="14"/>
        <v>Budget</v>
      </c>
    </row>
    <row r="144" spans="1:11" x14ac:dyDescent="0.45">
      <c r="A144" t="s">
        <v>309</v>
      </c>
      <c r="B144" t="s">
        <v>50</v>
      </c>
      <c r="C144">
        <v>37</v>
      </c>
      <c r="D144" t="s">
        <v>16</v>
      </c>
      <c r="E144" t="s">
        <v>99</v>
      </c>
      <c r="F144">
        <v>20777</v>
      </c>
      <c r="G144" t="s">
        <v>71</v>
      </c>
      <c r="H144" t="s">
        <v>18</v>
      </c>
      <c r="I144" t="str">
        <f t="shared" si="12"/>
        <v>36-40</v>
      </c>
      <c r="J144" t="str">
        <f t="shared" si="13"/>
        <v>04</v>
      </c>
      <c r="K144" s="9" t="str">
        <f t="shared" si="14"/>
        <v>Budget</v>
      </c>
    </row>
    <row r="145" spans="1:11" x14ac:dyDescent="0.45">
      <c r="A145" t="s">
        <v>310</v>
      </c>
      <c r="B145" t="s">
        <v>89</v>
      </c>
      <c r="C145">
        <v>26</v>
      </c>
      <c r="D145" t="s">
        <v>10</v>
      </c>
      <c r="E145" t="s">
        <v>99</v>
      </c>
      <c r="F145">
        <v>20727</v>
      </c>
      <c r="G145" t="s">
        <v>311</v>
      </c>
      <c r="H145" t="s">
        <v>18</v>
      </c>
      <c r="I145" t="str">
        <f t="shared" si="12"/>
        <v>26-30</v>
      </c>
      <c r="J145" t="str">
        <f t="shared" si="13"/>
        <v>03</v>
      </c>
      <c r="K145" s="9" t="str">
        <f t="shared" si="14"/>
        <v>Budget</v>
      </c>
    </row>
    <row r="146" spans="1:11" x14ac:dyDescent="0.45">
      <c r="A146" t="s">
        <v>312</v>
      </c>
      <c r="B146" t="s">
        <v>23</v>
      </c>
      <c r="C146">
        <v>35</v>
      </c>
      <c r="D146" t="s">
        <v>16</v>
      </c>
      <c r="E146" t="s">
        <v>97</v>
      </c>
      <c r="F146">
        <v>20712</v>
      </c>
      <c r="G146" t="s">
        <v>313</v>
      </c>
      <c r="H146" t="s">
        <v>18</v>
      </c>
      <c r="I146" t="str">
        <f t="shared" si="12"/>
        <v>31-35</v>
      </c>
      <c r="J146" t="str">
        <f t="shared" si="13"/>
        <v>01</v>
      </c>
      <c r="K146" s="9" t="str">
        <f t="shared" si="14"/>
        <v>Budget</v>
      </c>
    </row>
    <row r="147" spans="1:11" x14ac:dyDescent="0.45">
      <c r="A147" t="s">
        <v>314</v>
      </c>
      <c r="B147" t="s">
        <v>45</v>
      </c>
      <c r="C147">
        <v>44</v>
      </c>
      <c r="D147" t="s">
        <v>16</v>
      </c>
      <c r="E147" t="s">
        <v>97</v>
      </c>
      <c r="F147">
        <v>20285</v>
      </c>
      <c r="G147" t="s">
        <v>165</v>
      </c>
      <c r="H147" t="s">
        <v>18</v>
      </c>
      <c r="I147" t="str">
        <f t="shared" si="12"/>
        <v>41-45</v>
      </c>
      <c r="J147" t="str">
        <f t="shared" si="13"/>
        <v>04</v>
      </c>
      <c r="K147" s="9" t="str">
        <f t="shared" si="14"/>
        <v>Budget</v>
      </c>
    </row>
    <row r="148" spans="1:11" x14ac:dyDescent="0.45">
      <c r="A148" t="s">
        <v>315</v>
      </c>
      <c r="B148" t="s">
        <v>64</v>
      </c>
      <c r="C148">
        <v>42</v>
      </c>
      <c r="D148" t="s">
        <v>10</v>
      </c>
      <c r="E148" t="s">
        <v>100</v>
      </c>
      <c r="F148">
        <v>20285</v>
      </c>
      <c r="G148" t="s">
        <v>316</v>
      </c>
      <c r="H148" t="s">
        <v>18</v>
      </c>
      <c r="I148" t="str">
        <f t="shared" si="12"/>
        <v>41-45</v>
      </c>
      <c r="J148" t="str">
        <f t="shared" si="13"/>
        <v>02</v>
      </c>
      <c r="K148" s="9" t="str">
        <f t="shared" si="14"/>
        <v>Budget</v>
      </c>
    </row>
    <row r="149" spans="1:11" x14ac:dyDescent="0.45">
      <c r="A149" t="s">
        <v>317</v>
      </c>
      <c r="B149" t="s">
        <v>34</v>
      </c>
      <c r="C149">
        <v>45</v>
      </c>
      <c r="D149" t="s">
        <v>10</v>
      </c>
      <c r="E149" t="s">
        <v>100</v>
      </c>
      <c r="F149">
        <v>20203</v>
      </c>
      <c r="G149" t="s">
        <v>67</v>
      </c>
      <c r="H149" t="s">
        <v>18</v>
      </c>
      <c r="I149" t="str">
        <f t="shared" si="12"/>
        <v>41-45</v>
      </c>
      <c r="J149" t="str">
        <f t="shared" si="13"/>
        <v>06</v>
      </c>
      <c r="K149" s="9" t="str">
        <f t="shared" si="14"/>
        <v>Budget</v>
      </c>
    </row>
    <row r="150" spans="1:11" x14ac:dyDescent="0.45">
      <c r="A150" t="s">
        <v>318</v>
      </c>
      <c r="B150" t="s">
        <v>76</v>
      </c>
      <c r="C150">
        <v>47</v>
      </c>
      <c r="D150" t="s">
        <v>10</v>
      </c>
      <c r="E150" t="s">
        <v>97</v>
      </c>
      <c r="F150">
        <v>20176</v>
      </c>
      <c r="G150" t="s">
        <v>182</v>
      </c>
      <c r="H150" t="s">
        <v>18</v>
      </c>
      <c r="I150" t="str">
        <f t="shared" si="12"/>
        <v>46-50</v>
      </c>
      <c r="J150" t="str">
        <f t="shared" si="13"/>
        <v>03</v>
      </c>
      <c r="K150" s="9" t="str">
        <f t="shared" si="14"/>
        <v>Budget</v>
      </c>
    </row>
    <row r="151" spans="1:11" x14ac:dyDescent="0.45">
      <c r="A151" t="s">
        <v>319</v>
      </c>
      <c r="B151" t="s">
        <v>34</v>
      </c>
      <c r="C151">
        <v>32</v>
      </c>
      <c r="D151" t="s">
        <v>16</v>
      </c>
      <c r="E151" t="s">
        <v>99</v>
      </c>
      <c r="F151">
        <v>19949</v>
      </c>
      <c r="G151" t="s">
        <v>17</v>
      </c>
      <c r="H151" t="s">
        <v>18</v>
      </c>
      <c r="I151" t="str">
        <f t="shared" si="12"/>
        <v>31-35</v>
      </c>
      <c r="J151" t="str">
        <f t="shared" si="13"/>
        <v>01</v>
      </c>
      <c r="K151" s="9" t="str">
        <f t="shared" si="14"/>
        <v>Budget</v>
      </c>
    </row>
    <row r="152" spans="1:11" x14ac:dyDescent="0.45">
      <c r="A152" t="s">
        <v>320</v>
      </c>
      <c r="B152" t="s">
        <v>61</v>
      </c>
      <c r="C152">
        <v>32</v>
      </c>
      <c r="D152" t="s">
        <v>16</v>
      </c>
      <c r="E152" t="s">
        <v>97</v>
      </c>
      <c r="F152">
        <v>19928</v>
      </c>
      <c r="G152" t="s">
        <v>139</v>
      </c>
      <c r="H152" t="s">
        <v>18</v>
      </c>
      <c r="I152" t="str">
        <f t="shared" si="12"/>
        <v>31-35</v>
      </c>
      <c r="J152" t="str">
        <f t="shared" si="13"/>
        <v>01</v>
      </c>
      <c r="K152" s="9" t="str">
        <f t="shared" si="14"/>
        <v>Budget</v>
      </c>
    </row>
    <row r="153" spans="1:11" x14ac:dyDescent="0.45">
      <c r="A153" t="s">
        <v>321</v>
      </c>
      <c r="B153" t="s">
        <v>53</v>
      </c>
      <c r="C153">
        <v>30</v>
      </c>
      <c r="D153" t="s">
        <v>16</v>
      </c>
      <c r="E153" t="s">
        <v>100</v>
      </c>
      <c r="F153">
        <v>19897</v>
      </c>
      <c r="G153" t="s">
        <v>322</v>
      </c>
      <c r="H153" t="s">
        <v>18</v>
      </c>
      <c r="I153" t="str">
        <f t="shared" si="12"/>
        <v>26-30</v>
      </c>
      <c r="J153" t="str">
        <f t="shared" si="13"/>
        <v>01</v>
      </c>
      <c r="K153" s="9" t="str">
        <f t="shared" si="14"/>
        <v>Budget</v>
      </c>
    </row>
    <row r="154" spans="1:11" x14ac:dyDescent="0.45">
      <c r="A154" t="s">
        <v>323</v>
      </c>
      <c r="B154" t="s">
        <v>45</v>
      </c>
      <c r="C154">
        <v>30</v>
      </c>
      <c r="D154" t="s">
        <v>16</v>
      </c>
      <c r="E154" t="s">
        <v>100</v>
      </c>
      <c r="F154">
        <v>19819</v>
      </c>
      <c r="G154" t="s">
        <v>43</v>
      </c>
      <c r="H154" t="s">
        <v>18</v>
      </c>
      <c r="I154" t="str">
        <f t="shared" si="12"/>
        <v>26-30</v>
      </c>
      <c r="J154" t="str">
        <f t="shared" si="13"/>
        <v>01</v>
      </c>
      <c r="K154" s="9" t="str">
        <f t="shared" si="14"/>
        <v>Budget</v>
      </c>
    </row>
    <row r="155" spans="1:11" x14ac:dyDescent="0.45">
      <c r="A155" t="s">
        <v>324</v>
      </c>
      <c r="B155" t="s">
        <v>9</v>
      </c>
      <c r="C155">
        <v>41</v>
      </c>
      <c r="D155" t="s">
        <v>16</v>
      </c>
      <c r="E155" t="s">
        <v>100</v>
      </c>
      <c r="F155">
        <v>19787</v>
      </c>
      <c r="G155" t="s">
        <v>173</v>
      </c>
      <c r="H155" t="s">
        <v>18</v>
      </c>
      <c r="I155" t="str">
        <f t="shared" si="12"/>
        <v>41-45</v>
      </c>
      <c r="J155" t="str">
        <f t="shared" si="13"/>
        <v>01</v>
      </c>
      <c r="K155" s="9" t="str">
        <f t="shared" si="14"/>
        <v>Budget</v>
      </c>
    </row>
    <row r="156" spans="1:11" x14ac:dyDescent="0.45">
      <c r="A156" t="s">
        <v>325</v>
      </c>
      <c r="B156" t="s">
        <v>28</v>
      </c>
      <c r="C156">
        <v>37</v>
      </c>
      <c r="D156" t="s">
        <v>10</v>
      </c>
      <c r="E156" t="s">
        <v>99</v>
      </c>
      <c r="F156">
        <v>19759</v>
      </c>
      <c r="G156" t="s">
        <v>326</v>
      </c>
      <c r="H156" t="s">
        <v>18</v>
      </c>
      <c r="I156" t="str">
        <f t="shared" si="12"/>
        <v>36-40</v>
      </c>
      <c r="J156" t="str">
        <f t="shared" si="13"/>
        <v>05</v>
      </c>
      <c r="K156" s="9" t="str">
        <f t="shared" si="14"/>
        <v>Budget</v>
      </c>
    </row>
    <row r="157" spans="1:11" x14ac:dyDescent="0.45">
      <c r="A157" t="s">
        <v>327</v>
      </c>
      <c r="B157" t="s">
        <v>70</v>
      </c>
      <c r="C157">
        <v>31</v>
      </c>
      <c r="D157" t="s">
        <v>16</v>
      </c>
      <c r="E157" t="s">
        <v>100</v>
      </c>
      <c r="F157">
        <v>19702</v>
      </c>
      <c r="G157" t="s">
        <v>222</v>
      </c>
      <c r="H157" t="s">
        <v>18</v>
      </c>
      <c r="I157" t="str">
        <f t="shared" si="12"/>
        <v>31-35</v>
      </c>
      <c r="J157" t="str">
        <f t="shared" si="13"/>
        <v>05</v>
      </c>
      <c r="K157" s="9" t="str">
        <f t="shared" si="14"/>
        <v>Budget</v>
      </c>
    </row>
    <row r="158" spans="1:11" x14ac:dyDescent="0.45">
      <c r="A158" t="s">
        <v>328</v>
      </c>
      <c r="B158" t="s">
        <v>50</v>
      </c>
      <c r="C158">
        <v>47</v>
      </c>
      <c r="D158" t="s">
        <v>16</v>
      </c>
      <c r="E158" t="s">
        <v>100</v>
      </c>
      <c r="F158">
        <v>19679</v>
      </c>
      <c r="G158" t="s">
        <v>146</v>
      </c>
      <c r="H158" t="s">
        <v>13</v>
      </c>
      <c r="I158" t="str">
        <f t="shared" si="12"/>
        <v>46-50</v>
      </c>
      <c r="J158" t="str">
        <f t="shared" si="13"/>
        <v>02</v>
      </c>
      <c r="K158" s="9" t="str">
        <f t="shared" si="14"/>
        <v>Budget</v>
      </c>
    </row>
    <row r="159" spans="1:11" x14ac:dyDescent="0.45">
      <c r="A159" t="s">
        <v>329</v>
      </c>
      <c r="B159" t="s">
        <v>53</v>
      </c>
      <c r="C159">
        <v>22</v>
      </c>
      <c r="D159" t="s">
        <v>16</v>
      </c>
      <c r="E159" t="s">
        <v>100</v>
      </c>
      <c r="F159">
        <v>19651</v>
      </c>
      <c r="G159" t="s">
        <v>330</v>
      </c>
      <c r="H159" t="s">
        <v>18</v>
      </c>
      <c r="I159" t="str">
        <f t="shared" si="12"/>
        <v>21-25</v>
      </c>
      <c r="J159" t="str">
        <f t="shared" si="13"/>
        <v>06</v>
      </c>
      <c r="K159" s="9" t="str">
        <f t="shared" si="14"/>
        <v>Budget</v>
      </c>
    </row>
    <row r="160" spans="1:11" x14ac:dyDescent="0.45">
      <c r="A160" t="s">
        <v>331</v>
      </c>
      <c r="B160" t="s">
        <v>37</v>
      </c>
      <c r="C160">
        <v>50</v>
      </c>
      <c r="D160" t="s">
        <v>10</v>
      </c>
      <c r="E160" t="s">
        <v>97</v>
      </c>
      <c r="F160">
        <v>19525</v>
      </c>
      <c r="G160" t="s">
        <v>192</v>
      </c>
      <c r="H160" t="s">
        <v>13</v>
      </c>
      <c r="I160" t="str">
        <f t="shared" si="12"/>
        <v>46-50</v>
      </c>
      <c r="J160" t="str">
        <f t="shared" si="13"/>
        <v>03</v>
      </c>
      <c r="K160" s="9" t="str">
        <f t="shared" si="14"/>
        <v>Budget</v>
      </c>
    </row>
    <row r="161" spans="1:11" x14ac:dyDescent="0.45">
      <c r="A161" t="s">
        <v>332</v>
      </c>
      <c r="B161" t="s">
        <v>136</v>
      </c>
      <c r="C161">
        <v>40</v>
      </c>
      <c r="D161" t="s">
        <v>16</v>
      </c>
      <c r="E161" t="s">
        <v>99</v>
      </c>
      <c r="F161">
        <v>19510</v>
      </c>
      <c r="G161" t="s">
        <v>173</v>
      </c>
      <c r="H161" t="s">
        <v>13</v>
      </c>
      <c r="I161" t="str">
        <f t="shared" si="12"/>
        <v>36-40</v>
      </c>
      <c r="J161" t="str">
        <f t="shared" si="13"/>
        <v>01</v>
      </c>
      <c r="K161" s="9" t="str">
        <f t="shared" si="14"/>
        <v>Budget</v>
      </c>
    </row>
    <row r="162" spans="1:11" x14ac:dyDescent="0.45">
      <c r="A162" t="s">
        <v>333</v>
      </c>
      <c r="B162" t="s">
        <v>89</v>
      </c>
      <c r="C162">
        <v>25</v>
      </c>
      <c r="D162" t="s">
        <v>16</v>
      </c>
      <c r="E162" t="s">
        <v>97</v>
      </c>
      <c r="F162">
        <v>19422</v>
      </c>
      <c r="G162" t="s">
        <v>59</v>
      </c>
      <c r="H162" t="s">
        <v>18</v>
      </c>
      <c r="I162" t="str">
        <f t="shared" ref="I162:I193" si="15">IF(C162&lt;=25,"21-25",IF(C162&lt;=30,"26-30",IF(C162&lt;=35,"31-35",IF(C162&lt;=40,"36-40",IF(C162&lt;=45,"41-45","46-50")))))</f>
        <v>21-25</v>
      </c>
      <c r="J162" t="str">
        <f t="shared" ref="J162:J193" si="16">MID(G162,4,2)</f>
        <v>01</v>
      </c>
      <c r="K162" s="9" t="str">
        <f t="shared" ref="K162:K193" si="17">IF(F162&lt;30000,"Budget",IF(F162&lt;=50000,"Standard","Premium"))</f>
        <v>Budget</v>
      </c>
    </row>
    <row r="163" spans="1:11" x14ac:dyDescent="0.45">
      <c r="A163" t="s">
        <v>334</v>
      </c>
      <c r="B163" t="s">
        <v>23</v>
      </c>
      <c r="C163">
        <v>37</v>
      </c>
      <c r="D163" t="s">
        <v>10</v>
      </c>
      <c r="E163" t="s">
        <v>100</v>
      </c>
      <c r="F163">
        <v>19396</v>
      </c>
      <c r="G163" t="s">
        <v>335</v>
      </c>
      <c r="H163" t="s">
        <v>13</v>
      </c>
      <c r="I163" t="str">
        <f t="shared" si="15"/>
        <v>36-40</v>
      </c>
      <c r="J163" t="str">
        <f t="shared" si="16"/>
        <v>06</v>
      </c>
      <c r="K163" s="9" t="str">
        <f t="shared" si="17"/>
        <v>Budget</v>
      </c>
    </row>
    <row r="164" spans="1:11" x14ac:dyDescent="0.45">
      <c r="A164" t="s">
        <v>336</v>
      </c>
      <c r="B164" t="s">
        <v>50</v>
      </c>
      <c r="C164">
        <v>33</v>
      </c>
      <c r="D164" t="s">
        <v>10</v>
      </c>
      <c r="E164" t="s">
        <v>97</v>
      </c>
      <c r="F164">
        <v>19378</v>
      </c>
      <c r="G164" t="s">
        <v>35</v>
      </c>
      <c r="H164" t="s">
        <v>18</v>
      </c>
      <c r="I164" t="str">
        <f t="shared" si="15"/>
        <v>31-35</v>
      </c>
      <c r="J164" t="str">
        <f t="shared" si="16"/>
        <v>04</v>
      </c>
      <c r="K164" s="9" t="str">
        <f t="shared" si="17"/>
        <v>Budget</v>
      </c>
    </row>
    <row r="165" spans="1:11" x14ac:dyDescent="0.45">
      <c r="A165" t="s">
        <v>337</v>
      </c>
      <c r="B165" t="s">
        <v>136</v>
      </c>
      <c r="C165">
        <v>50</v>
      </c>
      <c r="D165" t="s">
        <v>10</v>
      </c>
      <c r="E165" t="s">
        <v>97</v>
      </c>
      <c r="F165">
        <v>19315</v>
      </c>
      <c r="G165" t="s">
        <v>79</v>
      </c>
      <c r="H165" t="s">
        <v>18</v>
      </c>
      <c r="I165" t="str">
        <f t="shared" si="15"/>
        <v>46-50</v>
      </c>
      <c r="J165" t="str">
        <f t="shared" si="16"/>
        <v>03</v>
      </c>
      <c r="K165" s="9" t="str">
        <f t="shared" si="17"/>
        <v>Budget</v>
      </c>
    </row>
    <row r="166" spans="1:11" x14ac:dyDescent="0.45">
      <c r="A166" t="s">
        <v>338</v>
      </c>
      <c r="B166" t="s">
        <v>64</v>
      </c>
      <c r="C166">
        <v>34</v>
      </c>
      <c r="D166" t="s">
        <v>10</v>
      </c>
      <c r="E166" t="s">
        <v>100</v>
      </c>
      <c r="F166">
        <v>19272</v>
      </c>
      <c r="G166" t="s">
        <v>339</v>
      </c>
      <c r="H166" t="s">
        <v>13</v>
      </c>
      <c r="I166" t="str">
        <f t="shared" si="15"/>
        <v>31-35</v>
      </c>
      <c r="J166" t="str">
        <f t="shared" si="16"/>
        <v>03</v>
      </c>
      <c r="K166" s="9" t="str">
        <f t="shared" si="17"/>
        <v>Budget</v>
      </c>
    </row>
    <row r="167" spans="1:11" x14ac:dyDescent="0.45">
      <c r="A167" t="s">
        <v>340</v>
      </c>
      <c r="B167" t="s">
        <v>31</v>
      </c>
      <c r="C167">
        <v>33</v>
      </c>
      <c r="D167" t="s">
        <v>16</v>
      </c>
      <c r="E167" t="s">
        <v>97</v>
      </c>
      <c r="F167">
        <v>19154</v>
      </c>
      <c r="G167" t="s">
        <v>341</v>
      </c>
      <c r="H167" t="s">
        <v>18</v>
      </c>
      <c r="I167" t="str">
        <f t="shared" si="15"/>
        <v>31-35</v>
      </c>
      <c r="J167" t="str">
        <f t="shared" si="16"/>
        <v>04</v>
      </c>
      <c r="K167" s="9" t="str">
        <f t="shared" si="17"/>
        <v>Budget</v>
      </c>
    </row>
    <row r="168" spans="1:11" x14ac:dyDescent="0.45">
      <c r="A168" t="s">
        <v>342</v>
      </c>
      <c r="B168" t="s">
        <v>136</v>
      </c>
      <c r="C168">
        <v>23</v>
      </c>
      <c r="D168" t="s">
        <v>10</v>
      </c>
      <c r="E168" t="s">
        <v>100</v>
      </c>
      <c r="F168">
        <v>19082</v>
      </c>
      <c r="G168" t="s">
        <v>245</v>
      </c>
      <c r="H168" t="s">
        <v>18</v>
      </c>
      <c r="I168" t="str">
        <f t="shared" si="15"/>
        <v>21-25</v>
      </c>
      <c r="J168" t="str">
        <f t="shared" si="16"/>
        <v>06</v>
      </c>
      <c r="K168" s="9" t="str">
        <f t="shared" si="17"/>
        <v>Budget</v>
      </c>
    </row>
    <row r="169" spans="1:11" x14ac:dyDescent="0.45">
      <c r="A169" t="s">
        <v>343</v>
      </c>
      <c r="B169" t="s">
        <v>45</v>
      </c>
      <c r="C169">
        <v>40</v>
      </c>
      <c r="D169" t="s">
        <v>16</v>
      </c>
      <c r="E169" t="s">
        <v>99</v>
      </c>
      <c r="F169">
        <v>18938</v>
      </c>
      <c r="G169" t="s">
        <v>216</v>
      </c>
      <c r="H169" t="s">
        <v>13</v>
      </c>
      <c r="I169" t="str">
        <f t="shared" si="15"/>
        <v>36-40</v>
      </c>
      <c r="J169" t="str">
        <f t="shared" si="16"/>
        <v>03</v>
      </c>
      <c r="K169" s="9" t="str">
        <f t="shared" si="17"/>
        <v>Budget</v>
      </c>
    </row>
    <row r="170" spans="1:11" x14ac:dyDescent="0.45">
      <c r="A170" t="s">
        <v>344</v>
      </c>
      <c r="B170" t="s">
        <v>20</v>
      </c>
      <c r="C170">
        <v>39</v>
      </c>
      <c r="D170" t="s">
        <v>10</v>
      </c>
      <c r="E170" t="s">
        <v>99</v>
      </c>
      <c r="F170">
        <v>18926</v>
      </c>
      <c r="G170" t="s">
        <v>345</v>
      </c>
      <c r="H170" t="s">
        <v>18</v>
      </c>
      <c r="I170" t="str">
        <f t="shared" si="15"/>
        <v>36-40</v>
      </c>
      <c r="J170" t="str">
        <f t="shared" si="16"/>
        <v>05</v>
      </c>
      <c r="K170" s="9" t="str">
        <f t="shared" si="17"/>
        <v>Budget</v>
      </c>
    </row>
    <row r="171" spans="1:11" x14ac:dyDescent="0.45">
      <c r="A171" t="s">
        <v>346</v>
      </c>
      <c r="B171" t="s">
        <v>34</v>
      </c>
      <c r="C171">
        <v>43</v>
      </c>
      <c r="D171" t="s">
        <v>16</v>
      </c>
      <c r="E171" t="s">
        <v>97</v>
      </c>
      <c r="F171">
        <v>18884</v>
      </c>
      <c r="G171" t="s">
        <v>347</v>
      </c>
      <c r="H171" t="s">
        <v>18</v>
      </c>
      <c r="I171" t="str">
        <f t="shared" si="15"/>
        <v>41-45</v>
      </c>
      <c r="J171" t="str">
        <f t="shared" si="16"/>
        <v>06</v>
      </c>
      <c r="K171" s="9" t="str">
        <f t="shared" si="17"/>
        <v>Budget</v>
      </c>
    </row>
    <row r="172" spans="1:11" x14ac:dyDescent="0.45">
      <c r="A172" t="s">
        <v>348</v>
      </c>
      <c r="B172" t="s">
        <v>45</v>
      </c>
      <c r="C172">
        <v>33</v>
      </c>
      <c r="D172" t="s">
        <v>10</v>
      </c>
      <c r="E172" t="s">
        <v>100</v>
      </c>
      <c r="F172">
        <v>18881</v>
      </c>
      <c r="G172" t="s">
        <v>233</v>
      </c>
      <c r="H172" t="s">
        <v>18</v>
      </c>
      <c r="I172" t="str">
        <f t="shared" si="15"/>
        <v>31-35</v>
      </c>
      <c r="J172" t="str">
        <f t="shared" si="16"/>
        <v>06</v>
      </c>
      <c r="K172" s="9" t="str">
        <f t="shared" si="17"/>
        <v>Budget</v>
      </c>
    </row>
    <row r="173" spans="1:11" x14ac:dyDescent="0.45">
      <c r="A173" t="s">
        <v>349</v>
      </c>
      <c r="B173" t="s">
        <v>136</v>
      </c>
      <c r="C173">
        <v>37</v>
      </c>
      <c r="D173" t="s">
        <v>16</v>
      </c>
      <c r="E173" t="s">
        <v>97</v>
      </c>
      <c r="F173">
        <v>18862</v>
      </c>
      <c r="G173" t="s">
        <v>350</v>
      </c>
      <c r="H173" t="s">
        <v>18</v>
      </c>
      <c r="I173" t="str">
        <f t="shared" si="15"/>
        <v>36-40</v>
      </c>
      <c r="J173" t="str">
        <f t="shared" si="16"/>
        <v>01</v>
      </c>
      <c r="K173" s="9" t="str">
        <f t="shared" si="17"/>
        <v>Budget</v>
      </c>
    </row>
    <row r="174" spans="1:11" x14ac:dyDescent="0.45">
      <c r="A174" t="s">
        <v>351</v>
      </c>
      <c r="B174" t="s">
        <v>40</v>
      </c>
      <c r="C174">
        <v>42</v>
      </c>
      <c r="D174" t="s">
        <v>16</v>
      </c>
      <c r="E174" t="s">
        <v>99</v>
      </c>
      <c r="F174">
        <v>18826</v>
      </c>
      <c r="G174" t="s">
        <v>275</v>
      </c>
      <c r="H174" t="s">
        <v>18</v>
      </c>
      <c r="I174" t="str">
        <f t="shared" si="15"/>
        <v>41-45</v>
      </c>
      <c r="J174" t="str">
        <f t="shared" si="16"/>
        <v>06</v>
      </c>
      <c r="K174" s="9" t="str">
        <f t="shared" si="17"/>
        <v>Budget</v>
      </c>
    </row>
    <row r="175" spans="1:11" x14ac:dyDescent="0.45">
      <c r="A175" t="s">
        <v>352</v>
      </c>
      <c r="B175" t="s">
        <v>31</v>
      </c>
      <c r="C175">
        <v>24</v>
      </c>
      <c r="D175" t="s">
        <v>10</v>
      </c>
      <c r="E175" t="s">
        <v>97</v>
      </c>
      <c r="F175">
        <v>18636</v>
      </c>
      <c r="G175" t="s">
        <v>353</v>
      </c>
      <c r="H175" t="s">
        <v>18</v>
      </c>
      <c r="I175" t="str">
        <f t="shared" si="15"/>
        <v>21-25</v>
      </c>
      <c r="J175" t="str">
        <f t="shared" si="16"/>
        <v>05</v>
      </c>
      <c r="K175" s="9" t="str">
        <f t="shared" si="17"/>
        <v>Budget</v>
      </c>
    </row>
    <row r="176" spans="1:11" x14ac:dyDescent="0.45">
      <c r="A176" t="s">
        <v>354</v>
      </c>
      <c r="B176" t="s">
        <v>53</v>
      </c>
      <c r="C176">
        <v>45</v>
      </c>
      <c r="D176" t="s">
        <v>16</v>
      </c>
      <c r="E176" t="s">
        <v>97</v>
      </c>
      <c r="F176">
        <v>18575</v>
      </c>
      <c r="G176" t="s">
        <v>322</v>
      </c>
      <c r="H176" t="s">
        <v>13</v>
      </c>
      <c r="I176" t="str">
        <f t="shared" si="15"/>
        <v>41-45</v>
      </c>
      <c r="J176" t="str">
        <f t="shared" si="16"/>
        <v>01</v>
      </c>
      <c r="K176" s="9" t="str">
        <f t="shared" si="17"/>
        <v>Budget</v>
      </c>
    </row>
    <row r="177" spans="1:11" x14ac:dyDescent="0.45">
      <c r="A177" t="s">
        <v>355</v>
      </c>
      <c r="B177" t="s">
        <v>20</v>
      </c>
      <c r="C177">
        <v>29</v>
      </c>
      <c r="D177" t="s">
        <v>10</v>
      </c>
      <c r="E177" t="s">
        <v>97</v>
      </c>
      <c r="F177">
        <v>18362</v>
      </c>
      <c r="G177" t="s">
        <v>286</v>
      </c>
      <c r="H177" t="s">
        <v>18</v>
      </c>
      <c r="I177" t="str">
        <f t="shared" si="15"/>
        <v>26-30</v>
      </c>
      <c r="J177" t="str">
        <f t="shared" si="16"/>
        <v>02</v>
      </c>
      <c r="K177" s="9" t="str">
        <f t="shared" si="17"/>
        <v>Budget</v>
      </c>
    </row>
    <row r="178" spans="1:11" x14ac:dyDescent="0.45">
      <c r="A178" t="s">
        <v>356</v>
      </c>
      <c r="B178" t="s">
        <v>64</v>
      </c>
      <c r="C178">
        <v>37</v>
      </c>
      <c r="D178" t="s">
        <v>10</v>
      </c>
      <c r="E178" t="s">
        <v>99</v>
      </c>
      <c r="F178">
        <v>18361</v>
      </c>
      <c r="G178" t="s">
        <v>316</v>
      </c>
      <c r="H178" t="s">
        <v>18</v>
      </c>
      <c r="I178" t="str">
        <f t="shared" si="15"/>
        <v>36-40</v>
      </c>
      <c r="J178" t="str">
        <f t="shared" si="16"/>
        <v>02</v>
      </c>
      <c r="K178" s="9" t="str">
        <f t="shared" si="17"/>
        <v>Budget</v>
      </c>
    </row>
    <row r="179" spans="1:11" x14ac:dyDescent="0.45">
      <c r="A179" t="s">
        <v>357</v>
      </c>
      <c r="B179" t="s">
        <v>9</v>
      </c>
      <c r="C179">
        <v>30</v>
      </c>
      <c r="D179" t="s">
        <v>10</v>
      </c>
      <c r="E179" t="s">
        <v>100</v>
      </c>
      <c r="F179">
        <v>18266</v>
      </c>
      <c r="G179" t="s">
        <v>358</v>
      </c>
      <c r="H179" t="s">
        <v>18</v>
      </c>
      <c r="I179" t="str">
        <f t="shared" si="15"/>
        <v>26-30</v>
      </c>
      <c r="J179" t="str">
        <f t="shared" si="16"/>
        <v>02</v>
      </c>
      <c r="K179" s="9" t="str">
        <f t="shared" si="17"/>
        <v>Budget</v>
      </c>
    </row>
    <row r="180" spans="1:11" x14ac:dyDescent="0.45">
      <c r="A180" t="s">
        <v>359</v>
      </c>
      <c r="B180" t="s">
        <v>58</v>
      </c>
      <c r="C180">
        <v>35</v>
      </c>
      <c r="D180" t="s">
        <v>10</v>
      </c>
      <c r="E180" t="s">
        <v>97</v>
      </c>
      <c r="F180">
        <v>18249</v>
      </c>
      <c r="G180" t="s">
        <v>186</v>
      </c>
      <c r="H180" t="s">
        <v>18</v>
      </c>
      <c r="I180" t="str">
        <f t="shared" si="15"/>
        <v>31-35</v>
      </c>
      <c r="J180" t="str">
        <f t="shared" si="16"/>
        <v>04</v>
      </c>
      <c r="K180" s="9" t="str">
        <f t="shared" si="17"/>
        <v>Budget</v>
      </c>
    </row>
    <row r="181" spans="1:11" x14ac:dyDescent="0.45">
      <c r="A181" t="s">
        <v>360</v>
      </c>
      <c r="B181" t="s">
        <v>23</v>
      </c>
      <c r="C181">
        <v>23</v>
      </c>
      <c r="D181" t="s">
        <v>16</v>
      </c>
      <c r="E181" t="s">
        <v>97</v>
      </c>
      <c r="F181">
        <v>18181</v>
      </c>
      <c r="G181" t="s">
        <v>293</v>
      </c>
      <c r="H181" t="s">
        <v>18</v>
      </c>
      <c r="I181" t="str">
        <f t="shared" si="15"/>
        <v>21-25</v>
      </c>
      <c r="J181" t="str">
        <f t="shared" si="16"/>
        <v>02</v>
      </c>
      <c r="K181" s="9" t="str">
        <f t="shared" si="17"/>
        <v>Budget</v>
      </c>
    </row>
    <row r="182" spans="1:11" x14ac:dyDescent="0.45">
      <c r="A182" t="s">
        <v>361</v>
      </c>
      <c r="B182" t="s">
        <v>23</v>
      </c>
      <c r="C182">
        <v>49</v>
      </c>
      <c r="D182" t="s">
        <v>10</v>
      </c>
      <c r="E182" t="s">
        <v>97</v>
      </c>
      <c r="F182">
        <v>18174</v>
      </c>
      <c r="G182" t="s">
        <v>362</v>
      </c>
      <c r="H182" t="s">
        <v>18</v>
      </c>
      <c r="I182" t="str">
        <f t="shared" si="15"/>
        <v>46-50</v>
      </c>
      <c r="J182" t="str">
        <f t="shared" si="16"/>
        <v>01</v>
      </c>
      <c r="K182" s="9" t="str">
        <f t="shared" si="17"/>
        <v>Budget</v>
      </c>
    </row>
    <row r="183" spans="1:11" x14ac:dyDescent="0.45">
      <c r="A183" t="s">
        <v>363</v>
      </c>
      <c r="B183" t="s">
        <v>34</v>
      </c>
      <c r="C183">
        <v>44</v>
      </c>
      <c r="D183" t="s">
        <v>10</v>
      </c>
      <c r="E183" t="s">
        <v>97</v>
      </c>
      <c r="F183">
        <v>17651</v>
      </c>
      <c r="G183" t="s">
        <v>188</v>
      </c>
      <c r="H183" t="s">
        <v>18</v>
      </c>
      <c r="I183" t="str">
        <f t="shared" si="15"/>
        <v>41-45</v>
      </c>
      <c r="J183" t="str">
        <f t="shared" si="16"/>
        <v>02</v>
      </c>
      <c r="K183" s="9" t="str">
        <f t="shared" si="17"/>
        <v>Budget</v>
      </c>
    </row>
    <row r="184" spans="1:11" x14ac:dyDescent="0.45">
      <c r="A184" t="s">
        <v>364</v>
      </c>
      <c r="B184" t="s">
        <v>9</v>
      </c>
      <c r="C184">
        <v>45</v>
      </c>
      <c r="D184" t="s">
        <v>10</v>
      </c>
      <c r="E184" t="s">
        <v>97</v>
      </c>
      <c r="F184">
        <v>17525</v>
      </c>
      <c r="G184" t="s">
        <v>132</v>
      </c>
      <c r="H184" t="s">
        <v>18</v>
      </c>
      <c r="I184" t="str">
        <f t="shared" si="15"/>
        <v>41-45</v>
      </c>
      <c r="J184" t="str">
        <f t="shared" si="16"/>
        <v>02</v>
      </c>
      <c r="K184" s="9" t="str">
        <f t="shared" si="17"/>
        <v>Budget</v>
      </c>
    </row>
    <row r="185" spans="1:11" x14ac:dyDescent="0.45">
      <c r="A185" t="s">
        <v>365</v>
      </c>
      <c r="B185" t="s">
        <v>64</v>
      </c>
      <c r="C185">
        <v>22</v>
      </c>
      <c r="D185" t="s">
        <v>16</v>
      </c>
      <c r="E185" t="s">
        <v>100</v>
      </c>
      <c r="F185">
        <v>17465</v>
      </c>
      <c r="G185" t="s">
        <v>366</v>
      </c>
      <c r="H185" t="s">
        <v>18</v>
      </c>
      <c r="I185" t="str">
        <f t="shared" si="15"/>
        <v>21-25</v>
      </c>
      <c r="J185" t="str">
        <f t="shared" si="16"/>
        <v>06</v>
      </c>
      <c r="K185" s="9" t="str">
        <f t="shared" si="17"/>
        <v>Budget</v>
      </c>
    </row>
    <row r="186" spans="1:11" x14ac:dyDescent="0.45">
      <c r="A186" t="s">
        <v>367</v>
      </c>
      <c r="B186" t="s">
        <v>28</v>
      </c>
      <c r="C186">
        <v>50</v>
      </c>
      <c r="D186" t="s">
        <v>10</v>
      </c>
      <c r="E186" t="s">
        <v>97</v>
      </c>
      <c r="F186">
        <v>17254</v>
      </c>
      <c r="G186" t="s">
        <v>308</v>
      </c>
      <c r="H186" t="s">
        <v>18</v>
      </c>
      <c r="I186" t="str">
        <f t="shared" si="15"/>
        <v>46-50</v>
      </c>
      <c r="J186" t="str">
        <f t="shared" si="16"/>
        <v>04</v>
      </c>
      <c r="K186" s="9" t="str">
        <f t="shared" si="17"/>
        <v>Budget</v>
      </c>
    </row>
    <row r="187" spans="1:11" x14ac:dyDescent="0.45">
      <c r="A187" t="s">
        <v>368</v>
      </c>
      <c r="B187" t="s">
        <v>61</v>
      </c>
      <c r="C187">
        <v>38</v>
      </c>
      <c r="D187" t="s">
        <v>16</v>
      </c>
      <c r="E187" t="s">
        <v>97</v>
      </c>
      <c r="F187">
        <v>17216</v>
      </c>
      <c r="G187" t="s">
        <v>369</v>
      </c>
      <c r="H187" t="s">
        <v>18</v>
      </c>
      <c r="I187" t="str">
        <f t="shared" si="15"/>
        <v>36-40</v>
      </c>
      <c r="J187" t="str">
        <f t="shared" si="16"/>
        <v>01</v>
      </c>
      <c r="K187" s="9" t="str">
        <f t="shared" si="17"/>
        <v>Budget</v>
      </c>
    </row>
    <row r="188" spans="1:11" x14ac:dyDescent="0.45">
      <c r="A188" t="s">
        <v>370</v>
      </c>
      <c r="B188" t="s">
        <v>20</v>
      </c>
      <c r="C188">
        <v>40</v>
      </c>
      <c r="D188" t="s">
        <v>16</v>
      </c>
      <c r="E188" t="s">
        <v>97</v>
      </c>
      <c r="F188">
        <v>17201</v>
      </c>
      <c r="G188" t="s">
        <v>371</v>
      </c>
      <c r="H188" t="s">
        <v>18</v>
      </c>
      <c r="I188" t="str">
        <f t="shared" si="15"/>
        <v>36-40</v>
      </c>
      <c r="J188" t="str">
        <f t="shared" si="16"/>
        <v>01</v>
      </c>
      <c r="K188" s="9" t="str">
        <f t="shared" si="17"/>
        <v>Budget</v>
      </c>
    </row>
    <row r="189" spans="1:11" x14ac:dyDescent="0.45">
      <c r="A189" t="s">
        <v>372</v>
      </c>
      <c r="B189" t="s">
        <v>136</v>
      </c>
      <c r="C189">
        <v>38</v>
      </c>
      <c r="D189" t="s">
        <v>16</v>
      </c>
      <c r="E189" t="s">
        <v>97</v>
      </c>
      <c r="F189">
        <v>16923</v>
      </c>
      <c r="G189" t="s">
        <v>373</v>
      </c>
      <c r="H189" t="s">
        <v>18</v>
      </c>
      <c r="I189" t="str">
        <f t="shared" si="15"/>
        <v>36-40</v>
      </c>
      <c r="J189" t="str">
        <f t="shared" si="16"/>
        <v>06</v>
      </c>
      <c r="K189" s="9" t="str">
        <f t="shared" si="17"/>
        <v>Budget</v>
      </c>
    </row>
    <row r="190" spans="1:11" x14ac:dyDescent="0.45">
      <c r="A190" t="s">
        <v>374</v>
      </c>
      <c r="B190" t="s">
        <v>9</v>
      </c>
      <c r="C190">
        <v>42</v>
      </c>
      <c r="D190" t="s">
        <v>10</v>
      </c>
      <c r="E190" t="s">
        <v>100</v>
      </c>
      <c r="F190">
        <v>16817</v>
      </c>
      <c r="G190" t="s">
        <v>46</v>
      </c>
      <c r="H190" t="s">
        <v>13</v>
      </c>
      <c r="I190" t="str">
        <f t="shared" si="15"/>
        <v>41-45</v>
      </c>
      <c r="J190" t="str">
        <f t="shared" si="16"/>
        <v>01</v>
      </c>
      <c r="K190" s="9" t="str">
        <f t="shared" si="17"/>
        <v>Budget</v>
      </c>
    </row>
    <row r="191" spans="1:11" x14ac:dyDescent="0.45">
      <c r="A191" t="s">
        <v>375</v>
      </c>
      <c r="B191" t="s">
        <v>37</v>
      </c>
      <c r="C191">
        <v>34</v>
      </c>
      <c r="D191" t="s">
        <v>16</v>
      </c>
      <c r="E191" t="s">
        <v>100</v>
      </c>
      <c r="F191">
        <v>16601</v>
      </c>
      <c r="G191" t="s">
        <v>218</v>
      </c>
      <c r="H191" t="s">
        <v>18</v>
      </c>
      <c r="I191" t="str">
        <f t="shared" si="15"/>
        <v>31-35</v>
      </c>
      <c r="J191" t="str">
        <f t="shared" si="16"/>
        <v>01</v>
      </c>
      <c r="K191" s="9" t="str">
        <f t="shared" si="17"/>
        <v>Budget</v>
      </c>
    </row>
    <row r="192" spans="1:11" x14ac:dyDescent="0.45">
      <c r="A192" t="s">
        <v>376</v>
      </c>
      <c r="B192" t="s">
        <v>23</v>
      </c>
      <c r="C192">
        <v>47</v>
      </c>
      <c r="D192" t="s">
        <v>10</v>
      </c>
      <c r="E192" t="s">
        <v>97</v>
      </c>
      <c r="F192">
        <v>16137</v>
      </c>
      <c r="G192" t="s">
        <v>308</v>
      </c>
      <c r="H192" t="s">
        <v>18</v>
      </c>
      <c r="I192" t="str">
        <f t="shared" si="15"/>
        <v>46-50</v>
      </c>
      <c r="J192" t="str">
        <f t="shared" si="16"/>
        <v>04</v>
      </c>
      <c r="K192" s="9" t="str">
        <f t="shared" si="17"/>
        <v>Budget</v>
      </c>
    </row>
    <row r="193" spans="1:11" x14ac:dyDescent="0.45">
      <c r="A193" t="s">
        <v>377</v>
      </c>
      <c r="B193" t="s">
        <v>50</v>
      </c>
      <c r="C193">
        <v>30</v>
      </c>
      <c r="D193" t="s">
        <v>10</v>
      </c>
      <c r="E193" t="s">
        <v>97</v>
      </c>
      <c r="F193">
        <v>16020</v>
      </c>
      <c r="G193" t="s">
        <v>261</v>
      </c>
      <c r="H193" t="s">
        <v>18</v>
      </c>
      <c r="I193" t="str">
        <f t="shared" si="15"/>
        <v>26-30</v>
      </c>
      <c r="J193" t="str">
        <f t="shared" si="16"/>
        <v>01</v>
      </c>
      <c r="K193" s="9" t="str">
        <f t="shared" si="17"/>
        <v>Budget</v>
      </c>
    </row>
    <row r="194" spans="1:11" x14ac:dyDescent="0.45">
      <c r="A194" t="s">
        <v>378</v>
      </c>
      <c r="B194" t="s">
        <v>70</v>
      </c>
      <c r="C194">
        <v>33</v>
      </c>
      <c r="D194" t="s">
        <v>10</v>
      </c>
      <c r="E194" t="s">
        <v>100</v>
      </c>
      <c r="F194">
        <v>15864</v>
      </c>
      <c r="G194" t="s">
        <v>379</v>
      </c>
      <c r="H194" t="s">
        <v>18</v>
      </c>
      <c r="I194" t="str">
        <f t="shared" ref="I194:I201" si="18">IF(C194&lt;=25,"21-25",IF(C194&lt;=30,"26-30",IF(C194&lt;=35,"31-35",IF(C194&lt;=40,"36-40",IF(C194&lt;=45,"41-45","46-50")))))</f>
        <v>31-35</v>
      </c>
      <c r="J194" t="str">
        <f t="shared" ref="J194:J201" si="19">MID(G194,4,2)</f>
        <v>05</v>
      </c>
      <c r="K194" s="9" t="str">
        <f t="shared" ref="K194:K201" si="20">IF(F194&lt;30000,"Budget",IF(F194&lt;=50000,"Standard","Premium"))</f>
        <v>Budget</v>
      </c>
    </row>
    <row r="195" spans="1:11" x14ac:dyDescent="0.45">
      <c r="A195" t="s">
        <v>380</v>
      </c>
      <c r="B195" t="s">
        <v>20</v>
      </c>
      <c r="C195">
        <v>46</v>
      </c>
      <c r="D195" t="s">
        <v>10</v>
      </c>
      <c r="E195" t="s">
        <v>100</v>
      </c>
      <c r="F195">
        <v>15703</v>
      </c>
      <c r="G195" t="s">
        <v>339</v>
      </c>
      <c r="H195" t="s">
        <v>18</v>
      </c>
      <c r="I195" t="str">
        <f t="shared" si="18"/>
        <v>46-50</v>
      </c>
      <c r="J195" t="str">
        <f t="shared" si="19"/>
        <v>03</v>
      </c>
      <c r="K195" s="9" t="str">
        <f t="shared" si="20"/>
        <v>Budget</v>
      </c>
    </row>
    <row r="196" spans="1:11" x14ac:dyDescent="0.45">
      <c r="A196" t="s">
        <v>381</v>
      </c>
      <c r="B196" t="s">
        <v>37</v>
      </c>
      <c r="C196">
        <v>42</v>
      </c>
      <c r="D196" t="s">
        <v>16</v>
      </c>
      <c r="E196" t="s">
        <v>97</v>
      </c>
      <c r="F196">
        <v>15429</v>
      </c>
      <c r="G196" t="s">
        <v>308</v>
      </c>
      <c r="H196" t="s">
        <v>18</v>
      </c>
      <c r="I196" t="str">
        <f t="shared" si="18"/>
        <v>41-45</v>
      </c>
      <c r="J196" t="str">
        <f t="shared" si="19"/>
        <v>04</v>
      </c>
      <c r="K196" s="9" t="str">
        <f t="shared" si="20"/>
        <v>Budget</v>
      </c>
    </row>
    <row r="197" spans="1:11" x14ac:dyDescent="0.45">
      <c r="A197" t="s">
        <v>382</v>
      </c>
      <c r="B197" t="s">
        <v>53</v>
      </c>
      <c r="C197">
        <v>44</v>
      </c>
      <c r="D197" t="s">
        <v>16</v>
      </c>
      <c r="E197" t="s">
        <v>100</v>
      </c>
      <c r="F197">
        <v>15325</v>
      </c>
      <c r="G197" t="s">
        <v>205</v>
      </c>
      <c r="H197" t="s">
        <v>18</v>
      </c>
      <c r="I197" t="str">
        <f t="shared" si="18"/>
        <v>41-45</v>
      </c>
      <c r="J197" t="str">
        <f t="shared" si="19"/>
        <v>06</v>
      </c>
      <c r="K197" s="9" t="str">
        <f t="shared" si="20"/>
        <v>Budget</v>
      </c>
    </row>
    <row r="198" spans="1:11" x14ac:dyDescent="0.45">
      <c r="A198" t="s">
        <v>383</v>
      </c>
      <c r="B198" t="s">
        <v>31</v>
      </c>
      <c r="C198">
        <v>49</v>
      </c>
      <c r="D198" t="s">
        <v>10</v>
      </c>
      <c r="E198" t="s">
        <v>97</v>
      </c>
      <c r="F198">
        <v>15068</v>
      </c>
      <c r="G198" t="s">
        <v>384</v>
      </c>
      <c r="H198" t="s">
        <v>18</v>
      </c>
      <c r="I198" t="str">
        <f t="shared" si="18"/>
        <v>46-50</v>
      </c>
      <c r="J198" t="str">
        <f t="shared" si="19"/>
        <v>04</v>
      </c>
      <c r="K198" s="9" t="str">
        <f t="shared" si="20"/>
        <v>Budget</v>
      </c>
    </row>
    <row r="199" spans="1:11" x14ac:dyDescent="0.45">
      <c r="A199" t="s">
        <v>385</v>
      </c>
      <c r="B199" t="s">
        <v>76</v>
      </c>
      <c r="C199">
        <v>45</v>
      </c>
      <c r="D199" t="s">
        <v>16</v>
      </c>
      <c r="E199" t="s">
        <v>97</v>
      </c>
      <c r="F199">
        <v>14582</v>
      </c>
      <c r="G199" t="s">
        <v>379</v>
      </c>
      <c r="H199" t="s">
        <v>13</v>
      </c>
      <c r="I199" t="str">
        <f t="shared" si="18"/>
        <v>41-45</v>
      </c>
      <c r="J199" t="str">
        <f t="shared" si="19"/>
        <v>05</v>
      </c>
      <c r="K199" s="9" t="str">
        <f t="shared" si="20"/>
        <v>Budget</v>
      </c>
    </row>
    <row r="200" spans="1:11" x14ac:dyDescent="0.45">
      <c r="A200" t="s">
        <v>386</v>
      </c>
      <c r="B200" t="s">
        <v>40</v>
      </c>
      <c r="C200">
        <v>22</v>
      </c>
      <c r="D200" t="s">
        <v>10</v>
      </c>
      <c r="E200" t="s">
        <v>97</v>
      </c>
      <c r="F200">
        <v>14368</v>
      </c>
      <c r="G200" t="s">
        <v>85</v>
      </c>
      <c r="H200" t="s">
        <v>18</v>
      </c>
      <c r="I200" t="str">
        <f t="shared" si="18"/>
        <v>21-25</v>
      </c>
      <c r="J200" t="str">
        <f t="shared" si="19"/>
        <v>03</v>
      </c>
      <c r="K200" s="9" t="str">
        <f t="shared" si="20"/>
        <v>Budget</v>
      </c>
    </row>
    <row r="201" spans="1:11" x14ac:dyDescent="0.45">
      <c r="A201" t="s">
        <v>387</v>
      </c>
      <c r="B201" t="s">
        <v>28</v>
      </c>
      <c r="C201">
        <v>35</v>
      </c>
      <c r="D201" t="s">
        <v>10</v>
      </c>
      <c r="E201" t="s">
        <v>97</v>
      </c>
      <c r="F201">
        <v>14087</v>
      </c>
      <c r="G201" t="s">
        <v>220</v>
      </c>
      <c r="H201" t="s">
        <v>13</v>
      </c>
      <c r="I201" t="str">
        <f t="shared" si="18"/>
        <v>31-35</v>
      </c>
      <c r="J201" t="str">
        <f t="shared" si="19"/>
        <v>03</v>
      </c>
      <c r="K201" s="9" t="str">
        <f t="shared" si="20"/>
        <v>Budget</v>
      </c>
    </row>
  </sheetData>
  <sortState xmlns:xlrd2="http://schemas.microsoft.com/office/spreadsheetml/2017/richdata2" ref="A2:K201">
    <sortCondition descending="1" ref="F2:F201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0F32-BA4A-4F4F-B5A8-9722A7226D98}">
  <dimension ref="A1:B32"/>
  <sheetViews>
    <sheetView zoomScale="63" workbookViewId="0">
      <selection activeCell="L25" sqref="L25"/>
    </sheetView>
  </sheetViews>
  <sheetFormatPr defaultRowHeight="14.25" x14ac:dyDescent="0.45"/>
  <cols>
    <col min="1" max="1" width="11.3984375" bestFit="1" customWidth="1"/>
    <col min="2" max="2" width="19.1328125" bestFit="1" customWidth="1"/>
  </cols>
  <sheetData>
    <row r="1" spans="1:2" x14ac:dyDescent="0.45">
      <c r="A1" s="1" t="s">
        <v>2</v>
      </c>
      <c r="B1" t="s">
        <v>95</v>
      </c>
    </row>
    <row r="2" spans="1:2" x14ac:dyDescent="0.45">
      <c r="A2">
        <v>21</v>
      </c>
      <c r="B2">
        <v>4</v>
      </c>
    </row>
    <row r="3" spans="1:2" x14ac:dyDescent="0.45">
      <c r="A3">
        <v>22</v>
      </c>
      <c r="B3">
        <v>8</v>
      </c>
    </row>
    <row r="4" spans="1:2" x14ac:dyDescent="0.45">
      <c r="A4">
        <v>23</v>
      </c>
      <c r="B4">
        <v>8</v>
      </c>
    </row>
    <row r="5" spans="1:2" x14ac:dyDescent="0.45">
      <c r="A5">
        <v>24</v>
      </c>
      <c r="B5">
        <v>12</v>
      </c>
    </row>
    <row r="6" spans="1:2" x14ac:dyDescent="0.45">
      <c r="A6">
        <v>25</v>
      </c>
      <c r="B6">
        <v>9</v>
      </c>
    </row>
    <row r="7" spans="1:2" x14ac:dyDescent="0.45">
      <c r="A7">
        <v>26</v>
      </c>
      <c r="B7">
        <v>4</v>
      </c>
    </row>
    <row r="8" spans="1:2" x14ac:dyDescent="0.45">
      <c r="A8">
        <v>27</v>
      </c>
      <c r="B8">
        <v>2</v>
      </c>
    </row>
    <row r="9" spans="1:2" x14ac:dyDescent="0.45">
      <c r="A9">
        <v>28</v>
      </c>
      <c r="B9">
        <v>5</v>
      </c>
    </row>
    <row r="10" spans="1:2" x14ac:dyDescent="0.45">
      <c r="A10">
        <v>29</v>
      </c>
      <c r="B10">
        <v>3</v>
      </c>
    </row>
    <row r="11" spans="1:2" x14ac:dyDescent="0.45">
      <c r="A11">
        <v>30</v>
      </c>
      <c r="B11">
        <v>12</v>
      </c>
    </row>
    <row r="12" spans="1:2" x14ac:dyDescent="0.45">
      <c r="A12">
        <v>31</v>
      </c>
      <c r="B12">
        <v>6</v>
      </c>
    </row>
    <row r="13" spans="1:2" x14ac:dyDescent="0.45">
      <c r="A13">
        <v>32</v>
      </c>
      <c r="B13">
        <v>3</v>
      </c>
    </row>
    <row r="14" spans="1:2" x14ac:dyDescent="0.45">
      <c r="A14">
        <v>33</v>
      </c>
      <c r="B14">
        <v>10</v>
      </c>
    </row>
    <row r="15" spans="1:2" x14ac:dyDescent="0.45">
      <c r="A15">
        <v>34</v>
      </c>
      <c r="B15">
        <v>6</v>
      </c>
    </row>
    <row r="16" spans="1:2" x14ac:dyDescent="0.45">
      <c r="A16">
        <v>35</v>
      </c>
      <c r="B16">
        <v>8</v>
      </c>
    </row>
    <row r="17" spans="1:2" x14ac:dyDescent="0.45">
      <c r="A17">
        <v>36</v>
      </c>
      <c r="B17">
        <v>5</v>
      </c>
    </row>
    <row r="18" spans="1:2" x14ac:dyDescent="0.45">
      <c r="A18">
        <v>37</v>
      </c>
      <c r="B18">
        <v>13</v>
      </c>
    </row>
    <row r="19" spans="1:2" x14ac:dyDescent="0.45">
      <c r="A19">
        <v>38</v>
      </c>
      <c r="B19">
        <v>8</v>
      </c>
    </row>
    <row r="20" spans="1:2" x14ac:dyDescent="0.45">
      <c r="A20">
        <v>39</v>
      </c>
      <c r="B20">
        <v>8</v>
      </c>
    </row>
    <row r="21" spans="1:2" x14ac:dyDescent="0.45">
      <c r="A21">
        <v>40</v>
      </c>
      <c r="B21">
        <v>8</v>
      </c>
    </row>
    <row r="22" spans="1:2" x14ac:dyDescent="0.45">
      <c r="A22">
        <v>41</v>
      </c>
      <c r="B22">
        <v>4</v>
      </c>
    </row>
    <row r="23" spans="1:2" x14ac:dyDescent="0.45">
      <c r="A23">
        <v>42</v>
      </c>
      <c r="B23">
        <v>9</v>
      </c>
    </row>
    <row r="24" spans="1:2" x14ac:dyDescent="0.45">
      <c r="A24">
        <v>43</v>
      </c>
      <c r="B24">
        <v>7</v>
      </c>
    </row>
    <row r="25" spans="1:2" x14ac:dyDescent="0.45">
      <c r="A25">
        <v>44</v>
      </c>
      <c r="B25">
        <v>6</v>
      </c>
    </row>
    <row r="26" spans="1:2" x14ac:dyDescent="0.45">
      <c r="A26">
        <v>45</v>
      </c>
      <c r="B26">
        <v>7</v>
      </c>
    </row>
    <row r="27" spans="1:2" x14ac:dyDescent="0.45">
      <c r="A27">
        <v>46</v>
      </c>
      <c r="B27">
        <v>2</v>
      </c>
    </row>
    <row r="28" spans="1:2" x14ac:dyDescent="0.45">
      <c r="A28">
        <v>47</v>
      </c>
      <c r="B28">
        <v>8</v>
      </c>
    </row>
    <row r="29" spans="1:2" x14ac:dyDescent="0.45">
      <c r="A29">
        <v>48</v>
      </c>
      <c r="B29">
        <v>2</v>
      </c>
    </row>
    <row r="30" spans="1:2" x14ac:dyDescent="0.45">
      <c r="A30">
        <v>49</v>
      </c>
      <c r="B30">
        <v>6</v>
      </c>
    </row>
    <row r="31" spans="1:2" x14ac:dyDescent="0.45">
      <c r="A31">
        <v>50</v>
      </c>
      <c r="B31">
        <v>7</v>
      </c>
    </row>
    <row r="32" spans="1:2" x14ac:dyDescent="0.45">
      <c r="A32" t="s">
        <v>101</v>
      </c>
      <c r="B32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5996-DB5D-4E21-94B3-2D3D38086558}">
  <dimension ref="A3:B10"/>
  <sheetViews>
    <sheetView workbookViewId="0">
      <selection activeCell="A3" sqref="A3:B10"/>
    </sheetView>
  </sheetViews>
  <sheetFormatPr defaultRowHeight="14.25" x14ac:dyDescent="0.45"/>
  <cols>
    <col min="1" max="1" width="13.73046875" bestFit="1" customWidth="1"/>
    <col min="2" max="2" width="19.1328125" bestFit="1" customWidth="1"/>
  </cols>
  <sheetData>
    <row r="3" spans="1:2" x14ac:dyDescent="0.45">
      <c r="A3" s="1" t="s">
        <v>114</v>
      </c>
      <c r="B3" t="s">
        <v>95</v>
      </c>
    </row>
    <row r="4" spans="1:2" x14ac:dyDescent="0.45">
      <c r="A4" t="s">
        <v>127</v>
      </c>
      <c r="B4">
        <v>41</v>
      </c>
    </row>
    <row r="5" spans="1:2" x14ac:dyDescent="0.45">
      <c r="A5" t="s">
        <v>120</v>
      </c>
      <c r="B5">
        <v>26</v>
      </c>
    </row>
    <row r="6" spans="1:2" x14ac:dyDescent="0.45">
      <c r="A6" t="s">
        <v>124</v>
      </c>
      <c r="B6">
        <v>33</v>
      </c>
    </row>
    <row r="7" spans="1:2" x14ac:dyDescent="0.45">
      <c r="A7" t="s">
        <v>122</v>
      </c>
      <c r="B7">
        <v>42</v>
      </c>
    </row>
    <row r="8" spans="1:2" x14ac:dyDescent="0.45">
      <c r="A8" t="s">
        <v>118</v>
      </c>
      <c r="B8">
        <v>33</v>
      </c>
    </row>
    <row r="9" spans="1:2" x14ac:dyDescent="0.45">
      <c r="A9" t="s">
        <v>116</v>
      </c>
      <c r="B9">
        <v>25</v>
      </c>
    </row>
    <row r="10" spans="1:2" x14ac:dyDescent="0.45">
      <c r="A10" t="s">
        <v>101</v>
      </c>
      <c r="B10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A0C-3B3D-4F79-9C88-08CF2FC7255E}">
  <dimension ref="A3:F8"/>
  <sheetViews>
    <sheetView workbookViewId="0">
      <selection activeCell="A2" sqref="A2"/>
    </sheetView>
  </sheetViews>
  <sheetFormatPr defaultRowHeight="14.25" x14ac:dyDescent="0.45"/>
  <cols>
    <col min="1" max="1" width="11.3984375" bestFit="1" customWidth="1"/>
    <col min="2" max="2" width="19.1328125" bestFit="1" customWidth="1"/>
    <col min="6" max="6" width="36.59765625" bestFit="1" customWidth="1"/>
  </cols>
  <sheetData>
    <row r="3" spans="1:6" x14ac:dyDescent="0.45">
      <c r="A3" s="1" t="s">
        <v>3</v>
      </c>
      <c r="B3" t="s">
        <v>95</v>
      </c>
    </row>
    <row r="4" spans="1:6" x14ac:dyDescent="0.45">
      <c r="A4" t="s">
        <v>16</v>
      </c>
      <c r="B4">
        <v>93</v>
      </c>
    </row>
    <row r="5" spans="1:6" x14ac:dyDescent="0.45">
      <c r="A5" t="s">
        <v>10</v>
      </c>
      <c r="B5">
        <v>107</v>
      </c>
      <c r="F5" s="9"/>
    </row>
    <row r="6" spans="1:6" x14ac:dyDescent="0.45">
      <c r="A6" t="s">
        <v>101</v>
      </c>
      <c r="B6">
        <v>200</v>
      </c>
      <c r="F6" s="9"/>
    </row>
    <row r="7" spans="1:6" x14ac:dyDescent="0.45">
      <c r="F7" s="9"/>
    </row>
    <row r="8" spans="1:6" x14ac:dyDescent="0.45">
      <c r="F8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9276-6B57-480F-A439-9AA7C7F7109A}">
  <dimension ref="A3:B11"/>
  <sheetViews>
    <sheetView topLeftCell="B1" workbookViewId="0">
      <selection activeCell="A3" sqref="A3:B11"/>
    </sheetView>
  </sheetViews>
  <sheetFormatPr defaultRowHeight="14.25" x14ac:dyDescent="0.45"/>
  <cols>
    <col min="1" max="1" width="11.3984375" bestFit="1" customWidth="1"/>
    <col min="2" max="2" width="19.1328125" bestFit="1" customWidth="1"/>
  </cols>
  <sheetData>
    <row r="3" spans="1:2" x14ac:dyDescent="0.45">
      <c r="A3" s="1" t="s">
        <v>115</v>
      </c>
      <c r="B3" t="s">
        <v>95</v>
      </c>
    </row>
    <row r="4" spans="1:2" x14ac:dyDescent="0.45">
      <c r="A4" t="s">
        <v>119</v>
      </c>
      <c r="B4">
        <v>38</v>
      </c>
    </row>
    <row r="5" spans="1:2" x14ac:dyDescent="0.45">
      <c r="A5" t="s">
        <v>117</v>
      </c>
      <c r="B5">
        <v>34</v>
      </c>
    </row>
    <row r="6" spans="1:2" x14ac:dyDescent="0.45">
      <c r="A6" t="s">
        <v>123</v>
      </c>
      <c r="B6">
        <v>29</v>
      </c>
    </row>
    <row r="7" spans="1:2" x14ac:dyDescent="0.45">
      <c r="A7" t="s">
        <v>121</v>
      </c>
      <c r="B7">
        <v>36</v>
      </c>
    </row>
    <row r="8" spans="1:2" x14ac:dyDescent="0.45">
      <c r="A8" t="s">
        <v>126</v>
      </c>
      <c r="B8">
        <v>32</v>
      </c>
    </row>
    <row r="9" spans="1:2" x14ac:dyDescent="0.45">
      <c r="A9" t="s">
        <v>125</v>
      </c>
      <c r="B9">
        <v>31</v>
      </c>
    </row>
    <row r="10" spans="1:2" x14ac:dyDescent="0.45">
      <c r="A10" t="s">
        <v>388</v>
      </c>
    </row>
    <row r="11" spans="1:2" x14ac:dyDescent="0.45">
      <c r="A11" t="s">
        <v>101</v>
      </c>
      <c r="B11">
        <v>200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711D-A731-4402-B636-FC036EE06ED3}">
  <dimension ref="A1:B7"/>
  <sheetViews>
    <sheetView tabSelected="1" workbookViewId="0">
      <selection activeCell="B1" sqref="B1"/>
    </sheetView>
  </sheetViews>
  <sheetFormatPr defaultRowHeight="14.25" x14ac:dyDescent="0.45"/>
  <cols>
    <col min="1" max="1" width="11.3984375" bestFit="1" customWidth="1"/>
    <col min="2" max="2" width="19.86328125" bestFit="1" customWidth="1"/>
  </cols>
  <sheetData>
    <row r="1" spans="1:2" x14ac:dyDescent="0.45">
      <c r="B1" t="e" cm="1" vm="1">
        <f t="array" aca="1" ref="B1" ca="1">Travel_Bookings!A1:K201</f>
        <v>#VALUE!</v>
      </c>
    </row>
    <row r="3" spans="1:2" x14ac:dyDescent="0.45">
      <c r="A3" s="1" t="s">
        <v>3</v>
      </c>
      <c r="B3" t="s">
        <v>102</v>
      </c>
    </row>
    <row r="4" spans="1:2" x14ac:dyDescent="0.45">
      <c r="A4" t="s">
        <v>16</v>
      </c>
      <c r="B4">
        <v>3658744</v>
      </c>
    </row>
    <row r="5" spans="1:2" x14ac:dyDescent="0.45">
      <c r="A5" t="s">
        <v>10</v>
      </c>
      <c r="B5">
        <v>4074446</v>
      </c>
    </row>
    <row r="6" spans="1:2" x14ac:dyDescent="0.45">
      <c r="A6" t="s">
        <v>388</v>
      </c>
    </row>
    <row r="7" spans="1:2" x14ac:dyDescent="0.45">
      <c r="A7" t="s">
        <v>101</v>
      </c>
      <c r="B7">
        <v>7733190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D280-87EC-4BF8-B4A3-4D1F6A597275}">
  <dimension ref="A3:B11"/>
  <sheetViews>
    <sheetView zoomScale="76" workbookViewId="0">
      <selection activeCell="J20" sqref="J20"/>
    </sheetView>
  </sheetViews>
  <sheetFormatPr defaultRowHeight="14.25" x14ac:dyDescent="0.45"/>
  <cols>
    <col min="1" max="1" width="13.73046875" bestFit="1" customWidth="1"/>
    <col min="2" max="2" width="19.86328125" bestFit="1" customWidth="1"/>
  </cols>
  <sheetData>
    <row r="3" spans="1:2" x14ac:dyDescent="0.45">
      <c r="A3" s="1" t="s">
        <v>114</v>
      </c>
      <c r="B3" t="s">
        <v>102</v>
      </c>
    </row>
    <row r="4" spans="1:2" x14ac:dyDescent="0.45">
      <c r="A4" t="s">
        <v>127</v>
      </c>
      <c r="B4">
        <v>1699426</v>
      </c>
    </row>
    <row r="5" spans="1:2" x14ac:dyDescent="0.45">
      <c r="A5" t="s">
        <v>120</v>
      </c>
      <c r="B5">
        <v>953635</v>
      </c>
    </row>
    <row r="6" spans="1:2" x14ac:dyDescent="0.45">
      <c r="A6" t="s">
        <v>124</v>
      </c>
      <c r="B6">
        <v>1405968</v>
      </c>
    </row>
    <row r="7" spans="1:2" x14ac:dyDescent="0.45">
      <c r="A7" t="s">
        <v>122</v>
      </c>
      <c r="B7">
        <v>1718534</v>
      </c>
    </row>
    <row r="8" spans="1:2" x14ac:dyDescent="0.45">
      <c r="A8" t="s">
        <v>118</v>
      </c>
      <c r="B8">
        <v>1119488</v>
      </c>
    </row>
    <row r="9" spans="1:2" x14ac:dyDescent="0.45">
      <c r="A9" t="s">
        <v>116</v>
      </c>
      <c r="B9">
        <v>836139</v>
      </c>
    </row>
    <row r="10" spans="1:2" x14ac:dyDescent="0.45">
      <c r="A10" t="s">
        <v>388</v>
      </c>
    </row>
    <row r="11" spans="1:2" x14ac:dyDescent="0.45">
      <c r="A11" t="s">
        <v>101</v>
      </c>
      <c r="B11">
        <v>7733190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662A-720F-4997-8C6E-2AFE8C244DA2}">
  <dimension ref="A3:B11"/>
  <sheetViews>
    <sheetView workbookViewId="0">
      <selection activeCell="I21" sqref="I21"/>
    </sheetView>
  </sheetViews>
  <sheetFormatPr defaultRowHeight="14.25" x14ac:dyDescent="0.45"/>
  <cols>
    <col min="1" max="1" width="11.3984375" bestFit="1" customWidth="1"/>
    <col min="2" max="2" width="19.86328125" bestFit="1" customWidth="1"/>
  </cols>
  <sheetData>
    <row r="3" spans="1:2" x14ac:dyDescent="0.45">
      <c r="A3" s="1" t="s">
        <v>115</v>
      </c>
      <c r="B3" t="s">
        <v>102</v>
      </c>
    </row>
    <row r="4" spans="1:2" x14ac:dyDescent="0.45">
      <c r="A4" t="s">
        <v>119</v>
      </c>
      <c r="B4">
        <v>1477289</v>
      </c>
    </row>
    <row r="5" spans="1:2" x14ac:dyDescent="0.45">
      <c r="A5" t="s">
        <v>117</v>
      </c>
      <c r="B5">
        <v>1529782</v>
      </c>
    </row>
    <row r="6" spans="1:2" x14ac:dyDescent="0.45">
      <c r="A6" t="s">
        <v>123</v>
      </c>
      <c r="B6">
        <v>1035194</v>
      </c>
    </row>
    <row r="7" spans="1:2" x14ac:dyDescent="0.45">
      <c r="A7" t="s">
        <v>121</v>
      </c>
      <c r="B7">
        <v>1426755</v>
      </c>
    </row>
    <row r="8" spans="1:2" x14ac:dyDescent="0.45">
      <c r="A8" t="s">
        <v>126</v>
      </c>
      <c r="B8">
        <v>1091475</v>
      </c>
    </row>
    <row r="9" spans="1:2" x14ac:dyDescent="0.45">
      <c r="A9" t="s">
        <v>125</v>
      </c>
      <c r="B9">
        <v>1172695</v>
      </c>
    </row>
    <row r="10" spans="1:2" x14ac:dyDescent="0.45">
      <c r="A10" t="s">
        <v>388</v>
      </c>
    </row>
    <row r="11" spans="1:2" x14ac:dyDescent="0.45">
      <c r="A11" t="s">
        <v>101</v>
      </c>
      <c r="B11">
        <v>7733190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058F-539E-4E5D-A071-1BA22EF5D672}">
  <dimension ref="A2:S34"/>
  <sheetViews>
    <sheetView zoomScale="57" workbookViewId="0">
      <selection activeCell="U27" sqref="U27"/>
    </sheetView>
  </sheetViews>
  <sheetFormatPr defaultRowHeight="14.25" x14ac:dyDescent="0.45"/>
  <cols>
    <col min="1" max="1" width="20" customWidth="1"/>
    <col min="2" max="2" width="10.59765625" bestFit="1" customWidth="1"/>
    <col min="5" max="5" width="16.265625" bestFit="1" customWidth="1"/>
    <col min="6" max="6" width="13.59765625" bestFit="1" customWidth="1"/>
    <col min="7" max="7" width="10.265625" bestFit="1" customWidth="1"/>
    <col min="8" max="8" width="25.1328125" customWidth="1"/>
    <col min="9" max="9" width="16.3984375" bestFit="1" customWidth="1"/>
    <col min="10" max="10" width="15" bestFit="1" customWidth="1"/>
    <col min="11" max="11" width="19" bestFit="1" customWidth="1"/>
    <col min="12" max="12" width="16.3984375" bestFit="1" customWidth="1"/>
  </cols>
  <sheetData>
    <row r="2" spans="1:19" x14ac:dyDescent="0.45">
      <c r="E2" s="57" t="s">
        <v>389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x14ac:dyDescent="0.45"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19" x14ac:dyDescent="0.45"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7" spans="1:19" ht="15.75" x14ac:dyDescent="0.5">
      <c r="A7" s="11" t="s">
        <v>390</v>
      </c>
      <c r="B7" s="11" t="s">
        <v>391</v>
      </c>
      <c r="E7" s="10" t="s">
        <v>105</v>
      </c>
      <c r="F7" s="10" t="s">
        <v>392</v>
      </c>
      <c r="G7" s="10" t="s">
        <v>18</v>
      </c>
      <c r="H7" s="10" t="s">
        <v>416</v>
      </c>
      <c r="I7" s="10" t="s">
        <v>108</v>
      </c>
      <c r="J7" s="13" t="s">
        <v>393</v>
      </c>
      <c r="K7" s="13" t="s">
        <v>394</v>
      </c>
      <c r="L7" s="13" t="s">
        <v>395</v>
      </c>
    </row>
    <row r="8" spans="1:19" ht="15.75" x14ac:dyDescent="0.5">
      <c r="A8" s="12" t="s">
        <v>105</v>
      </c>
      <c r="B8" s="12">
        <v>200</v>
      </c>
      <c r="E8">
        <v>200</v>
      </c>
      <c r="F8" s="19" t="s">
        <v>396</v>
      </c>
      <c r="G8">
        <v>155</v>
      </c>
      <c r="H8">
        <v>45</v>
      </c>
      <c r="I8" s="17">
        <v>0.22500000000000001</v>
      </c>
      <c r="J8" t="s">
        <v>397</v>
      </c>
      <c r="K8" t="s">
        <v>398</v>
      </c>
      <c r="L8">
        <f>45/200*100</f>
        <v>22.5</v>
      </c>
    </row>
    <row r="9" spans="1:19" ht="15.75" x14ac:dyDescent="0.5">
      <c r="A9" s="12" t="s">
        <v>392</v>
      </c>
      <c r="B9" s="12" t="s">
        <v>396</v>
      </c>
      <c r="E9" s="9"/>
      <c r="F9" s="18"/>
    </row>
    <row r="10" spans="1:19" ht="15.75" x14ac:dyDescent="0.5">
      <c r="A10" s="12" t="s">
        <v>106</v>
      </c>
      <c r="B10" s="12">
        <v>155</v>
      </c>
    </row>
    <row r="11" spans="1:19" ht="15.75" x14ac:dyDescent="0.5">
      <c r="A11" s="12" t="s">
        <v>107</v>
      </c>
      <c r="B11" s="12">
        <v>45</v>
      </c>
    </row>
    <row r="12" spans="1:19" x14ac:dyDescent="0.45">
      <c r="E12" s="17"/>
    </row>
    <row r="14" spans="1:19" x14ac:dyDescent="0.45">
      <c r="A14" s="13"/>
    </row>
    <row r="23" spans="1:2" x14ac:dyDescent="0.45">
      <c r="A23" s="14"/>
    </row>
    <row r="25" spans="1:2" x14ac:dyDescent="0.45">
      <c r="A25" s="13"/>
    </row>
    <row r="26" spans="1:2" x14ac:dyDescent="0.45">
      <c r="A26" s="10"/>
      <c r="B26" s="10"/>
    </row>
    <row r="27" spans="1:2" x14ac:dyDescent="0.45">
      <c r="B27" s="15"/>
    </row>
    <row r="28" spans="1:2" x14ac:dyDescent="0.45">
      <c r="B28" s="15"/>
    </row>
    <row r="29" spans="1:2" x14ac:dyDescent="0.45">
      <c r="B29" s="15"/>
    </row>
    <row r="30" spans="1:2" x14ac:dyDescent="0.45">
      <c r="B30" s="15"/>
    </row>
    <row r="31" spans="1:2" x14ac:dyDescent="0.45">
      <c r="B31" s="15"/>
    </row>
    <row r="32" spans="1:2" x14ac:dyDescent="0.45">
      <c r="B32" s="15"/>
    </row>
    <row r="34" spans="1:1" x14ac:dyDescent="0.45">
      <c r="A34" s="16"/>
    </row>
  </sheetData>
  <mergeCells count="1">
    <mergeCell ref="E2:S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3CD0-45B3-4CD9-8154-E35B4A98901C}">
  <dimension ref="A3:I11"/>
  <sheetViews>
    <sheetView topLeftCell="A2" zoomScale="68" workbookViewId="0">
      <selection activeCell="I7" sqref="I7"/>
    </sheetView>
  </sheetViews>
  <sheetFormatPr defaultRowHeight="14.25" x14ac:dyDescent="0.45"/>
  <cols>
    <col min="1" max="1" width="19.1328125" bestFit="1" customWidth="1"/>
    <col min="2" max="2" width="9.59765625" bestFit="1" customWidth="1"/>
    <col min="3" max="3" width="10.265625" bestFit="1" customWidth="1"/>
    <col min="4" max="4" width="11.3984375" bestFit="1" customWidth="1"/>
    <col min="6" max="6" width="11.1328125" bestFit="1" customWidth="1"/>
    <col min="7" max="7" width="9.3984375" bestFit="1" customWidth="1"/>
    <col min="9" max="9" width="16.86328125" bestFit="1" customWidth="1"/>
  </cols>
  <sheetData>
    <row r="3" spans="1:9" x14ac:dyDescent="0.45">
      <c r="A3" s="1" t="s">
        <v>95</v>
      </c>
      <c r="B3" s="1" t="s">
        <v>7</v>
      </c>
      <c r="F3" s="10" t="s">
        <v>4</v>
      </c>
      <c r="G3" s="10" t="s">
        <v>13</v>
      </c>
      <c r="H3" s="10" t="s">
        <v>399</v>
      </c>
      <c r="I3" s="10" t="s">
        <v>400</v>
      </c>
    </row>
    <row r="4" spans="1:9" x14ac:dyDescent="0.45">
      <c r="A4" s="1" t="s">
        <v>4</v>
      </c>
      <c r="B4" t="s">
        <v>13</v>
      </c>
      <c r="C4" t="s">
        <v>18</v>
      </c>
      <c r="D4" t="s">
        <v>101</v>
      </c>
      <c r="F4" t="s">
        <v>11</v>
      </c>
      <c r="G4">
        <v>5</v>
      </c>
      <c r="H4">
        <v>32</v>
      </c>
      <c r="I4" s="17">
        <f>G4/H4</f>
        <v>0.15625</v>
      </c>
    </row>
    <row r="5" spans="1:9" x14ac:dyDescent="0.45">
      <c r="A5" t="s">
        <v>11</v>
      </c>
      <c r="B5">
        <v>5</v>
      </c>
      <c r="C5">
        <v>27</v>
      </c>
      <c r="D5">
        <v>32</v>
      </c>
      <c r="F5" t="s">
        <v>96</v>
      </c>
      <c r="G5">
        <v>15</v>
      </c>
      <c r="H5">
        <v>41</v>
      </c>
      <c r="I5" s="17">
        <f t="shared" ref="I5:I9" si="0">G5/H5</f>
        <v>0.36585365853658536</v>
      </c>
    </row>
    <row r="6" spans="1:9" x14ac:dyDescent="0.45">
      <c r="A6" t="s">
        <v>96</v>
      </c>
      <c r="B6">
        <v>15</v>
      </c>
      <c r="C6">
        <v>26</v>
      </c>
      <c r="D6">
        <v>41</v>
      </c>
      <c r="F6" t="s">
        <v>97</v>
      </c>
      <c r="G6">
        <v>4</v>
      </c>
      <c r="H6">
        <v>33</v>
      </c>
      <c r="I6" s="17">
        <f t="shared" si="0"/>
        <v>0.12121212121212122</v>
      </c>
    </row>
    <row r="7" spans="1:9" x14ac:dyDescent="0.45">
      <c r="A7" t="s">
        <v>97</v>
      </c>
      <c r="B7">
        <v>4</v>
      </c>
      <c r="C7">
        <v>29</v>
      </c>
      <c r="D7">
        <v>33</v>
      </c>
      <c r="F7" t="s">
        <v>98</v>
      </c>
      <c r="G7">
        <v>5</v>
      </c>
      <c r="H7">
        <v>35</v>
      </c>
      <c r="I7" s="17">
        <f t="shared" si="0"/>
        <v>0.14285714285714285</v>
      </c>
    </row>
    <row r="8" spans="1:9" x14ac:dyDescent="0.45">
      <c r="A8" t="s">
        <v>98</v>
      </c>
      <c r="B8">
        <v>5</v>
      </c>
      <c r="C8">
        <v>30</v>
      </c>
      <c r="D8">
        <v>35</v>
      </c>
      <c r="F8" t="s">
        <v>99</v>
      </c>
      <c r="G8">
        <v>8</v>
      </c>
      <c r="H8">
        <v>23</v>
      </c>
      <c r="I8" s="17">
        <f t="shared" si="0"/>
        <v>0.34782608695652173</v>
      </c>
    </row>
    <row r="9" spans="1:9" x14ac:dyDescent="0.45">
      <c r="A9" t="s">
        <v>99</v>
      </c>
      <c r="B9">
        <v>8</v>
      </c>
      <c r="C9">
        <v>15</v>
      </c>
      <c r="D9">
        <v>23</v>
      </c>
      <c r="F9" t="s">
        <v>100</v>
      </c>
      <c r="G9">
        <v>8</v>
      </c>
      <c r="H9">
        <v>36</v>
      </c>
      <c r="I9" s="17">
        <f t="shared" si="0"/>
        <v>0.22222222222222221</v>
      </c>
    </row>
    <row r="10" spans="1:9" x14ac:dyDescent="0.45">
      <c r="A10" t="s">
        <v>100</v>
      </c>
      <c r="B10">
        <v>8</v>
      </c>
      <c r="C10">
        <v>28</v>
      </c>
      <c r="D10">
        <v>36</v>
      </c>
    </row>
    <row r="11" spans="1:9" x14ac:dyDescent="0.45">
      <c r="A11" t="s">
        <v>101</v>
      </c>
      <c r="B11">
        <v>45</v>
      </c>
      <c r="C11">
        <v>155</v>
      </c>
      <c r="D11">
        <v>200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8A04-2811-4240-AF3E-9F4ACA079042}">
  <dimension ref="A2:P10"/>
  <sheetViews>
    <sheetView zoomScale="52" workbookViewId="0">
      <selection activeCell="P31" sqref="P31"/>
    </sheetView>
  </sheetViews>
  <sheetFormatPr defaultRowHeight="14.25" x14ac:dyDescent="0.45"/>
  <cols>
    <col min="1" max="1" width="14.265625" bestFit="1" customWidth="1"/>
    <col min="2" max="2" width="19.86328125" bestFit="1" customWidth="1"/>
    <col min="14" max="14" width="22.3984375" bestFit="1" customWidth="1"/>
    <col min="16" max="16" width="20.3984375" bestFit="1" customWidth="1"/>
  </cols>
  <sheetData>
    <row r="2" spans="1:16" x14ac:dyDescent="0.45">
      <c r="N2" s="10" t="s">
        <v>4</v>
      </c>
      <c r="O2" s="13" t="s">
        <v>401</v>
      </c>
      <c r="P2" s="20" t="s">
        <v>402</v>
      </c>
    </row>
    <row r="3" spans="1:16" x14ac:dyDescent="0.45">
      <c r="A3" s="1" t="s">
        <v>4</v>
      </c>
      <c r="B3" t="s">
        <v>102</v>
      </c>
      <c r="N3" t="s">
        <v>96</v>
      </c>
      <c r="O3">
        <v>2493352</v>
      </c>
      <c r="P3" s="21">
        <f>O3/7733190</f>
        <v>0.32242218282494028</v>
      </c>
    </row>
    <row r="4" spans="1:16" x14ac:dyDescent="0.45">
      <c r="A4" t="s">
        <v>96</v>
      </c>
      <c r="B4">
        <v>2493352</v>
      </c>
      <c r="N4" t="s">
        <v>11</v>
      </c>
      <c r="O4">
        <v>2251676</v>
      </c>
      <c r="P4" s="21">
        <f t="shared" ref="P4:P8" si="0">O4/7733190</f>
        <v>0.29117039669269734</v>
      </c>
    </row>
    <row r="5" spans="1:16" x14ac:dyDescent="0.45">
      <c r="A5" t="s">
        <v>11</v>
      </c>
      <c r="B5">
        <v>2251676</v>
      </c>
      <c r="N5" t="s">
        <v>98</v>
      </c>
      <c r="O5">
        <v>1134593</v>
      </c>
      <c r="P5" s="21">
        <f t="shared" si="0"/>
        <v>0.14671733139881471</v>
      </c>
    </row>
    <row r="6" spans="1:16" x14ac:dyDescent="0.45">
      <c r="A6" t="s">
        <v>98</v>
      </c>
      <c r="B6">
        <v>1134593</v>
      </c>
      <c r="N6" t="s">
        <v>100</v>
      </c>
      <c r="O6">
        <v>736589</v>
      </c>
      <c r="P6" s="21">
        <f t="shared" si="0"/>
        <v>9.5250343002047017E-2</v>
      </c>
    </row>
    <row r="7" spans="1:16" x14ac:dyDescent="0.45">
      <c r="A7" t="s">
        <v>100</v>
      </c>
      <c r="B7">
        <v>736589</v>
      </c>
      <c r="N7" t="s">
        <v>97</v>
      </c>
      <c r="O7">
        <v>600006</v>
      </c>
      <c r="P7" s="21">
        <f t="shared" si="0"/>
        <v>7.758842081986865E-2</v>
      </c>
    </row>
    <row r="8" spans="1:16" x14ac:dyDescent="0.45">
      <c r="A8" t="s">
        <v>97</v>
      </c>
      <c r="B8">
        <v>600006</v>
      </c>
      <c r="N8" t="s">
        <v>99</v>
      </c>
      <c r="O8">
        <v>516974</v>
      </c>
      <c r="P8" s="21">
        <f t="shared" si="0"/>
        <v>6.6851325261632011E-2</v>
      </c>
    </row>
    <row r="9" spans="1:16" x14ac:dyDescent="0.45">
      <c r="A9" t="s">
        <v>99</v>
      </c>
      <c r="B9">
        <v>516974</v>
      </c>
    </row>
    <row r="10" spans="1:16" x14ac:dyDescent="0.45">
      <c r="A10" t="s">
        <v>101</v>
      </c>
      <c r="B10">
        <v>7733190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8AB9-BCE3-4DEC-96D5-E440EAB643D5}">
  <dimension ref="A3:B11"/>
  <sheetViews>
    <sheetView workbookViewId="0">
      <selection activeCell="A3" sqref="A3:B11"/>
    </sheetView>
  </sheetViews>
  <sheetFormatPr defaultRowHeight="14.25" x14ac:dyDescent="0.45"/>
  <cols>
    <col min="1" max="1" width="14.265625" bestFit="1" customWidth="1"/>
    <col min="2" max="2" width="23.1328125" bestFit="1" customWidth="1"/>
  </cols>
  <sheetData>
    <row r="3" spans="1:2" x14ac:dyDescent="0.45">
      <c r="A3" s="22" t="s">
        <v>4</v>
      </c>
      <c r="B3" s="23" t="s">
        <v>403</v>
      </c>
    </row>
    <row r="4" spans="1:2" x14ac:dyDescent="0.45">
      <c r="A4" s="23" t="s">
        <v>11</v>
      </c>
      <c r="B4" s="23">
        <v>70364.875</v>
      </c>
    </row>
    <row r="5" spans="1:2" x14ac:dyDescent="0.45">
      <c r="A5" s="23" t="s">
        <v>96</v>
      </c>
      <c r="B5" s="23">
        <v>60813.463414634149</v>
      </c>
    </row>
    <row r="6" spans="1:2" x14ac:dyDescent="0.45">
      <c r="A6" s="23" t="s">
        <v>97</v>
      </c>
      <c r="B6" s="23">
        <v>18182</v>
      </c>
    </row>
    <row r="7" spans="1:2" x14ac:dyDescent="0.45">
      <c r="A7" s="23" t="s">
        <v>98</v>
      </c>
      <c r="B7" s="23">
        <v>32416.942857142858</v>
      </c>
    </row>
    <row r="8" spans="1:2" x14ac:dyDescent="0.45">
      <c r="A8" s="23" t="s">
        <v>99</v>
      </c>
      <c r="B8" s="23">
        <v>22477.130434782608</v>
      </c>
    </row>
    <row r="9" spans="1:2" x14ac:dyDescent="0.45">
      <c r="A9" s="23" t="s">
        <v>100</v>
      </c>
      <c r="B9" s="23">
        <v>20460.805555555555</v>
      </c>
    </row>
    <row r="10" spans="1:2" x14ac:dyDescent="0.45">
      <c r="A10" s="23" t="s">
        <v>388</v>
      </c>
      <c r="B10" s="23"/>
    </row>
    <row r="11" spans="1:2" x14ac:dyDescent="0.45">
      <c r="A11" s="23" t="s">
        <v>101</v>
      </c>
      <c r="B11" s="23">
        <v>38665.949999999997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D94A-463F-4E52-976E-65AC9DBD76B0}">
  <dimension ref="A2:B7"/>
  <sheetViews>
    <sheetView workbookViewId="0">
      <selection activeCell="C8" sqref="C8"/>
    </sheetView>
  </sheetViews>
  <sheetFormatPr defaultRowHeight="14.25" x14ac:dyDescent="0.45"/>
  <cols>
    <col min="1" max="1" width="21.59765625" bestFit="1" customWidth="1"/>
    <col min="2" max="2" width="19.1328125" bestFit="1" customWidth="1"/>
  </cols>
  <sheetData>
    <row r="2" spans="1:2" ht="14.65" thickBot="1" x14ac:dyDescent="0.5"/>
    <row r="3" spans="1:2" x14ac:dyDescent="0.45">
      <c r="A3" s="24" t="s">
        <v>128</v>
      </c>
      <c r="B3" s="25" t="s">
        <v>95</v>
      </c>
    </row>
    <row r="4" spans="1:2" x14ac:dyDescent="0.45">
      <c r="A4" s="26" t="s">
        <v>404</v>
      </c>
      <c r="B4" s="27">
        <v>104</v>
      </c>
    </row>
    <row r="5" spans="1:2" x14ac:dyDescent="0.45">
      <c r="A5" s="26" t="s">
        <v>405</v>
      </c>
      <c r="B5" s="27">
        <v>73</v>
      </c>
    </row>
    <row r="6" spans="1:2" x14ac:dyDescent="0.45">
      <c r="A6" s="26" t="s">
        <v>406</v>
      </c>
      <c r="B6" s="27">
        <v>23</v>
      </c>
    </row>
    <row r="7" spans="1:2" ht="14.65" thickBot="1" x14ac:dyDescent="0.5">
      <c r="A7" s="28" t="s">
        <v>101</v>
      </c>
      <c r="B7" s="29">
        <v>200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37BE-6708-445E-86E8-84758CA04969}">
  <dimension ref="A2:B7"/>
  <sheetViews>
    <sheetView zoomScale="115" zoomScaleNormal="115" workbookViewId="0">
      <selection activeCell="C11" sqref="C11"/>
    </sheetView>
  </sheetViews>
  <sheetFormatPr defaultRowHeight="14.25" x14ac:dyDescent="0.45"/>
  <cols>
    <col min="1" max="1" width="21.59765625" bestFit="1" customWidth="1"/>
    <col min="2" max="2" width="19.86328125" bestFit="1" customWidth="1"/>
  </cols>
  <sheetData>
    <row r="2" spans="1:2" ht="14.65" thickBot="1" x14ac:dyDescent="0.5"/>
    <row r="3" spans="1:2" x14ac:dyDescent="0.45">
      <c r="A3" s="24" t="s">
        <v>128</v>
      </c>
      <c r="B3" s="25" t="s">
        <v>102</v>
      </c>
    </row>
    <row r="4" spans="1:2" x14ac:dyDescent="0.45">
      <c r="A4" s="26" t="s">
        <v>404</v>
      </c>
      <c r="B4" s="27">
        <v>2184244</v>
      </c>
    </row>
    <row r="5" spans="1:2" x14ac:dyDescent="0.45">
      <c r="A5" s="26" t="s">
        <v>405</v>
      </c>
      <c r="B5" s="27">
        <v>4745028</v>
      </c>
    </row>
    <row r="6" spans="1:2" x14ac:dyDescent="0.45">
      <c r="A6" s="26" t="s">
        <v>406</v>
      </c>
      <c r="B6" s="27">
        <v>803918</v>
      </c>
    </row>
    <row r="7" spans="1:2" ht="14.65" thickBot="1" x14ac:dyDescent="0.5">
      <c r="A7" s="28" t="s">
        <v>101</v>
      </c>
      <c r="B7" s="29">
        <v>7733190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20AD-2BFB-44B4-AC1E-D5C7C9B19AA0}">
  <dimension ref="A1:F7"/>
  <sheetViews>
    <sheetView zoomScale="67" workbookViewId="0">
      <selection activeCell="H18" sqref="H18"/>
    </sheetView>
  </sheetViews>
  <sheetFormatPr defaultRowHeight="14.25" x14ac:dyDescent="0.45"/>
  <cols>
    <col min="1" max="1" width="11.1328125" bestFit="1" customWidth="1"/>
    <col min="4" max="4" width="16.3984375" bestFit="1" customWidth="1"/>
    <col min="6" max="6" width="21.86328125" bestFit="1" customWidth="1"/>
  </cols>
  <sheetData>
    <row r="1" spans="1:6" x14ac:dyDescent="0.45">
      <c r="A1" s="30" t="s">
        <v>4</v>
      </c>
      <c r="B1" s="31" t="s">
        <v>407</v>
      </c>
      <c r="C1" s="31" t="s">
        <v>401</v>
      </c>
      <c r="D1" s="31" t="s">
        <v>108</v>
      </c>
      <c r="E1" s="31" t="s">
        <v>408</v>
      </c>
      <c r="F1" s="32" t="s">
        <v>409</v>
      </c>
    </row>
    <row r="2" spans="1:6" x14ac:dyDescent="0.45">
      <c r="A2" s="41" t="s">
        <v>11</v>
      </c>
      <c r="B2" s="42">
        <v>32</v>
      </c>
      <c r="C2" s="42">
        <v>2251676</v>
      </c>
      <c r="D2" s="43">
        <v>0.15629999999999999</v>
      </c>
      <c r="E2" s="42">
        <v>1</v>
      </c>
      <c r="F2" s="44" t="s">
        <v>410</v>
      </c>
    </row>
    <row r="3" spans="1:6" x14ac:dyDescent="0.45">
      <c r="A3" s="53" t="s">
        <v>96</v>
      </c>
      <c r="B3" s="54">
        <v>41</v>
      </c>
      <c r="C3" s="54">
        <v>2493352</v>
      </c>
      <c r="D3" s="55">
        <v>0.3659</v>
      </c>
      <c r="E3" s="54">
        <v>4</v>
      </c>
      <c r="F3" s="56" t="s">
        <v>411</v>
      </c>
    </row>
    <row r="4" spans="1:6" x14ac:dyDescent="0.45">
      <c r="A4" s="49" t="s">
        <v>97</v>
      </c>
      <c r="B4" s="50">
        <v>33</v>
      </c>
      <c r="C4" s="50">
        <v>600006</v>
      </c>
      <c r="D4" s="51">
        <v>0.1212</v>
      </c>
      <c r="E4" s="50">
        <v>3</v>
      </c>
      <c r="F4" s="52" t="s">
        <v>412</v>
      </c>
    </row>
    <row r="5" spans="1:6" x14ac:dyDescent="0.45">
      <c r="A5" s="33" t="s">
        <v>98</v>
      </c>
      <c r="B5" s="34">
        <v>35</v>
      </c>
      <c r="C5" s="34">
        <v>1134593</v>
      </c>
      <c r="D5" s="35">
        <v>0.1429</v>
      </c>
      <c r="E5" s="34">
        <v>2</v>
      </c>
      <c r="F5" s="36" t="s">
        <v>413</v>
      </c>
    </row>
    <row r="6" spans="1:6" x14ac:dyDescent="0.45">
      <c r="A6" s="45" t="s">
        <v>99</v>
      </c>
      <c r="B6" s="46">
        <v>23</v>
      </c>
      <c r="C6" s="46">
        <v>516974</v>
      </c>
      <c r="D6" s="47">
        <v>0.3478</v>
      </c>
      <c r="E6" s="46">
        <v>6</v>
      </c>
      <c r="F6" s="48" t="s">
        <v>414</v>
      </c>
    </row>
    <row r="7" spans="1:6" ht="14.65" thickBot="1" x14ac:dyDescent="0.5">
      <c r="A7" s="37" t="s">
        <v>100</v>
      </c>
      <c r="B7" s="38">
        <v>36</v>
      </c>
      <c r="C7" s="38">
        <v>736589</v>
      </c>
      <c r="D7" s="39">
        <v>0.22220000000000001</v>
      </c>
      <c r="E7" s="38">
        <v>5</v>
      </c>
      <c r="F7" s="4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destination analysis</vt:lpstr>
      <vt:lpstr>revenue analysis</vt:lpstr>
      <vt:lpstr>cancellation analysis</vt:lpstr>
      <vt:lpstr>data overview</vt:lpstr>
      <vt:lpstr>Detail1</vt:lpstr>
      <vt:lpstr>Travel_Bookings</vt:lpstr>
      <vt:lpstr>raw age analysis</vt:lpstr>
      <vt:lpstr>age group analysis</vt:lpstr>
      <vt:lpstr>gender analysis</vt:lpstr>
      <vt:lpstr>monthly analysis</vt:lpstr>
      <vt:lpstr>revenue by gender</vt:lpstr>
      <vt:lpstr>revenue by age_group</vt:lpstr>
      <vt:lpstr>revenue by month</vt:lpstr>
      <vt:lpstr>dashboard</vt:lpstr>
      <vt:lpstr>cancellation rate</vt:lpstr>
      <vt:lpstr>revenue by dest</vt:lpstr>
      <vt:lpstr>Average Package Cost Analysis b</vt:lpstr>
      <vt:lpstr>Customer Segmentation Analysis</vt:lpstr>
      <vt:lpstr>package cost analysis</vt:lpstr>
      <vt:lpstr>Destination Performance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falak munir</cp:lastModifiedBy>
  <cp:revision/>
  <dcterms:created xsi:type="dcterms:W3CDTF">2026-06-14T11:55:24Z</dcterms:created>
  <dcterms:modified xsi:type="dcterms:W3CDTF">2026-08-20T17:58:41Z</dcterms:modified>
  <cp:category/>
  <cp:contentStatus/>
</cp:coreProperties>
</file>